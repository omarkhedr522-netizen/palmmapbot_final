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3" activeTab="8" autoFilterDateGrouping="1"/>
  </bookViews>
  <sheets>
    <sheet xmlns:r="http://schemas.openxmlformats.org/officeDocument/2006/relationships" name="README_SOP" sheetId="1" state="visible" r:id="rId1"/>
    <sheet xmlns:r="http://schemas.openxmlformats.org/officeDocument/2006/relationships" name="Experiment_Plan" sheetId="2" state="visible" r:id="rId2"/>
    <sheet xmlns:r="http://schemas.openxmlformats.org/officeDocument/2006/relationships" name="Detection_Metrics" sheetId="3" state="visible" r:id="rId3"/>
    <sheet xmlns:r="http://schemas.openxmlformats.org/officeDocument/2006/relationships" name="TreeID_Association" sheetId="4" state="visible" r:id="rId4"/>
    <sheet xmlns:r="http://schemas.openxmlformats.org/officeDocument/2006/relationships" name="Mapping_Accuracy" sheetId="5" state="visible" r:id="rId5"/>
    <sheet xmlns:r="http://schemas.openxmlformats.org/officeDocument/2006/relationships" name="End2End_Runtime" sheetId="6" state="visible" r:id="rId6"/>
    <sheet xmlns:r="http://schemas.openxmlformats.org/officeDocument/2006/relationships" name="GIS_Validation" sheetId="7" state="visible" r:id="rId7"/>
    <sheet xmlns:r="http://schemas.openxmlformats.org/officeDocument/2006/relationships" name="Evidence_Checklist" sheetId="8" state="visible" r:id="rId8"/>
    <sheet xmlns:r="http://schemas.openxmlformats.org/officeDocument/2006/relationships" name="Dashboard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0.000"/>
    <numFmt numFmtId="166" formatCode="0.0"/>
    <numFmt numFmtId="167" formatCode="0.0%"/>
  </numFmts>
  <fonts count="5">
    <font>
      <name val="Carlito"/>
      <sz val="11"/>
    </font>
    <font>
      <name val="Carlito"/>
      <b val="1"/>
      <color rgb="FFFFFFFF"/>
      <sz val="16"/>
    </font>
    <font>
      <name val="Carlito"/>
      <i val="1"/>
      <color rgb="FF1F4E78"/>
      <sz val="10"/>
    </font>
    <font>
      <name val="Carlito"/>
      <b val="1"/>
      <color rgb="FFFFFFFF"/>
      <sz val="11"/>
    </font>
    <font>
      <name val="Carlito"/>
      <b val="1"/>
      <sz val="11"/>
    </font>
  </fonts>
  <fills count="6">
    <fill>
      <patternFill/>
    </fill>
    <fill>
      <patternFill patternType="gray125"/>
    </fill>
    <fill>
      <patternFill patternType="solid">
        <fgColor rgb="FF0B1F33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4" fillId="5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</cellXfs>
  <cellStyles count="1">
    <cellStyle name="Normal" xfId="0" builtinId="0"/>
  </cellStyles>
  <dxfs count="4">
    <dxf>
      <font>
        <b val="1"/>
        <color rgb="FF9C0006"/>
      </font>
      <fill>
        <patternFill patternType="solid">
          <bgColor rgb="FFFFC7CE"/>
        </patternFill>
      </fill>
    </dxf>
    <dxf>
      <font>
        <b val="1"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0"/>
  <sheetViews>
    <sheetView topLeftCell="A7" zoomScale="175" zoomScaleNormal="175" workbookViewId="0">
      <selection activeCell="B10" sqref="B10"/>
    </sheetView>
  </sheetViews>
  <sheetFormatPr baseColWidth="8" defaultRowHeight="14.25"/>
  <cols>
    <col width="12" customWidth="1" min="1" max="1"/>
    <col width="64.125" customWidth="1" min="2" max="2"/>
    <col width="55" customWidth="1" min="3" max="4"/>
  </cols>
  <sheetData>
    <row r="1">
      <c r="A1" s="9" t="inlineStr">
        <is>
          <t>PalmMapBot Q1 Publication Experiment SOP</t>
        </is>
      </c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>
      <c r="A2" s="11" t="inlineStr">
        <is>
          <t>Purpose: guide students to execute minimum-effort, publication-grade experiments and record results consistently.</t>
        </is>
      </c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</row>
    <row r="4" ht="15" customHeight="1">
      <c r="A4" s="1" t="inlineStr">
        <is>
          <t>Section</t>
        </is>
      </c>
      <c r="B4" s="1" t="inlineStr">
        <is>
          <t>Instruction</t>
        </is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</row>
    <row r="5" ht="29.25" customHeight="1">
      <c r="A5" s="3" t="inlineStr">
        <is>
          <t>Golden rule</t>
        </is>
      </c>
      <c r="B5" s="10" t="inlineStr">
        <is>
          <t>No new features unless they directly support the required metrics. Execute, measure, export evidence, and keep all files reproducible.</t>
        </is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</row>
    <row r="6" ht="43.5" customHeight="1">
      <c r="A6" s="3" t="inlineStr">
        <is>
          <t>Paper scope</t>
        </is>
      </c>
      <c r="B6" s="10" t="inlineStr">
        <is>
          <t>Tree-ID-aware semantic geospatial mapping for palm-farm digital inventory. Do not frame the work as a complete autonomous SLAM robot unless full field evidence exists.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43.5" customHeight="1">
      <c r="A7" s="3" t="inlineStr">
        <is>
          <t>Required experiments</t>
        </is>
      </c>
      <c r="B7" s="10" t="inlineStr">
        <is>
          <t>1) Palm detection metrics; 2) Tree-ID association; 3) Mapping accuracy; 4) End-to-end runtime/database/export validation; 5) GIS validity and evidence package.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 ht="30" customHeight="1">
      <c r="A8" s="3" t="inlineStr">
        <is>
          <t>Dataset discipline</t>
        </is>
      </c>
      <c r="B8" s="10" t="inlineStr">
        <is>
          <t>Keep fixed train/validation/test split. Never test on training data. Save image lists, labels, model weights, logs, and commands.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45" customHeight="1">
      <c r="A9" s="3" t="inlineStr">
        <is>
          <t>Ground truth discipline</t>
        </is>
      </c>
      <c r="B9" s="10" t="inlineStr">
        <is>
          <t>Each palm in the Tree-ID and mapping tests must have a manually assigned GroundTruth_Tree_ID and reference coordinate if available.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43.5" customHeight="1">
      <c r="A10" s="3" t="inlineStr">
        <is>
          <t>Acceptance threshold</t>
        </is>
      </c>
      <c r="B10" s="10" t="inlineStr">
        <is>
          <t>The workbook does not decide acceptance alone; it exposes whether evidence is sufficient for manuscript tables. Weak/unknown cells must be treated as publication risks.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 ht="30" customHeight="1">
      <c r="A11" s="3" t="inlineStr">
        <is>
          <t>Deliverables</t>
        </is>
      </c>
      <c r="B11" s="10" t="inlineStr">
        <is>
          <t>Completed workbook, raw CSV logs, detection metric report, exported GeoJSON, SQLite DB, screenshots, and one zipped reproducibility folder.</t>
        </is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15" customHeight="1">
      <c r="A13" s="12" t="inlineStr">
        <is>
          <t>Suggested 4-Day Sprint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 ht="15" customHeight="1">
      <c r="A14" s="1" t="inlineStr">
        <is>
          <t>Day</t>
        </is>
      </c>
      <c r="B14" s="1" t="inlineStr">
        <is>
          <t>Owner</t>
        </is>
      </c>
      <c r="C14" s="1" t="inlineStr">
        <is>
          <t>Main Task</t>
        </is>
      </c>
      <c r="D14" s="1" t="inlineStr">
        <is>
          <t>Output Evidence</t>
        </is>
      </c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 ht="28.5" customHeight="1">
      <c r="A15" s="10" t="inlineStr">
        <is>
          <t>Day 1</t>
        </is>
      </c>
      <c r="B15" s="10" t="n"/>
      <c r="C15" s="10" t="inlineStr">
        <is>
          <t>Freeze paper scope, dataset split, model version, experimental folder structure.</t>
        </is>
      </c>
      <c r="D15" s="10" t="inlineStr">
        <is>
          <t>README, split files, model hash/version, repo commit.</t>
        </is>
      </c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>
      <c r="A16" s="10" t="inlineStr">
        <is>
          <t>Day 2</t>
        </is>
      </c>
      <c r="B16" s="10" t="n"/>
      <c r="C16" s="10" t="inlineStr">
        <is>
          <t>Run detection metrics and Tree-ID association experiment.</t>
        </is>
      </c>
      <c r="D16" s="10" t="inlineStr">
        <is>
          <t>Detection table, confusion/error log, ID association table.</t>
        </is>
      </c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 ht="28.5" customHeight="1">
      <c r="A17" s="10" t="inlineStr">
        <is>
          <t>Day 3</t>
        </is>
      </c>
      <c r="B17" s="10" t="n"/>
      <c r="C17" s="10" t="inlineStr">
        <is>
          <t>Run mapping accuracy, runtime, database, GeoJSON, dashboard/GIS validation.</t>
        </is>
      </c>
      <c r="D17" s="10" t="inlineStr">
        <is>
          <t>Mapping error table, runtime table, DB/GeoJSON files, screenshots.</t>
        </is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28.5" customHeight="1">
      <c r="A18" s="10" t="inlineStr">
        <is>
          <t>Day 4</t>
        </is>
      </c>
      <c r="B18" s="10" t="n"/>
      <c r="C18" s="10" t="inlineStr">
        <is>
          <t>Clean results, complete dashboard, generate manuscript-ready tables and figures.</t>
        </is>
      </c>
      <c r="D18" s="10" t="inlineStr">
        <is>
          <t>Final workbook, figures, zipped reproducibility package.</t>
        </is>
      </c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</row>
  </sheetData>
  <mergeCells count="3">
    <mergeCell ref="A1:J1"/>
    <mergeCell ref="A13:J13"/>
    <mergeCell ref="A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0"/>
  <sheetViews>
    <sheetView topLeftCell="A4" zoomScale="160" zoomScaleNormal="160" workbookViewId="0">
      <selection activeCell="C7" sqref="C7"/>
    </sheetView>
  </sheetViews>
  <sheetFormatPr baseColWidth="8" defaultRowHeight="14.25"/>
  <cols>
    <col width="10" customWidth="1" min="1" max="1"/>
    <col width="22" customWidth="1" min="2" max="2"/>
    <col width="45" customWidth="1" min="3" max="3"/>
    <col width="32" customWidth="1" min="4" max="4"/>
    <col width="24" customWidth="1" min="5" max="5"/>
    <col width="34" customWidth="1" min="6" max="6"/>
    <col width="16" customWidth="1" min="7" max="8"/>
    <col width="14" customWidth="1" min="9" max="10"/>
    <col width="28" customWidth="1" min="11" max="11"/>
    <col width="32" customWidth="1" min="12" max="12"/>
    <col width="40" customWidth="1" min="13" max="13"/>
  </cols>
  <sheetData>
    <row r="1" ht="96" customHeight="1">
      <c r="A1" s="9" t="inlineStr">
        <is>
          <t>Experiment Plan and Execution Log</t>
        </is>
      </c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 ht="96" customHeight="1">
      <c r="A2" s="11" t="inlineStr">
        <is>
          <t>Fill one row per experiment. Use the Status column to control readiness.</t>
        </is>
      </c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 ht="15" customHeight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</row>
    <row r="4" ht="15" customHeight="1">
      <c r="A4" s="1" t="inlineStr">
        <is>
          <t>Exp_ID</t>
        </is>
      </c>
      <c r="B4" s="1" t="inlineStr">
        <is>
          <t>Experiment</t>
        </is>
      </c>
      <c r="C4" s="1" t="inlineStr">
        <is>
          <t>Research Question</t>
        </is>
      </c>
      <c r="D4" s="1" t="inlineStr">
        <is>
          <t>Minimum Sample</t>
        </is>
      </c>
      <c r="E4" s="1" t="inlineStr">
        <is>
          <t>Dataset/Route</t>
        </is>
      </c>
      <c r="F4" s="1" t="inlineStr">
        <is>
          <t>Script/Command</t>
        </is>
      </c>
      <c r="G4" s="1" t="inlineStr">
        <is>
          <t>Owner</t>
        </is>
      </c>
      <c r="H4" s="1" t="inlineStr">
        <is>
          <t>Status</t>
        </is>
      </c>
      <c r="I4" s="1" t="inlineStr">
        <is>
          <t>Start Date</t>
        </is>
      </c>
      <c r="J4" s="1" t="inlineStr">
        <is>
          <t>End Date</t>
        </is>
      </c>
      <c r="K4" s="1" t="inlineStr">
        <is>
          <t>Evidence Folder</t>
        </is>
      </c>
      <c r="L4" s="1" t="inlineStr">
        <is>
          <t>Publication Table/Figure</t>
        </is>
      </c>
      <c r="M4" s="1" t="inlineStr">
        <is>
          <t>Comments</t>
        </is>
      </c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</row>
    <row r="5" ht="26.45" customHeight="1">
      <c r="A5" s="10" t="inlineStr">
        <is>
          <t>E1</t>
        </is>
      </c>
      <c r="B5" s="10" t="inlineStr">
        <is>
          <t>Palm Detection</t>
        </is>
      </c>
      <c r="C5" s="10" t="inlineStr">
        <is>
          <t>How accurately does the detector identify palm trees?</t>
        </is>
      </c>
      <c r="D5" s="10" t="inlineStr">
        <is>
          <t>≥100 test images or ≥200 palm instances</t>
        </is>
      </c>
      <c r="E5" s="10" t="n"/>
      <c r="F5" s="10" t="n"/>
      <c r="G5" s="10" t="inlineStr">
        <is>
          <t>Completed</t>
        </is>
      </c>
      <c r="H5" s="10" t="inlineStr">
        <is>
          <t>2026-05-20</t>
        </is>
      </c>
      <c r="I5" s="4" t="inlineStr">
        <is>
          <t>2026-05-20</t>
        </is>
      </c>
      <c r="J5" s="4" t="inlineStr">
        <is>
          <t>validation/evidence/</t>
        </is>
      </c>
      <c r="K5" s="10" t="n"/>
      <c r="L5" s="10" t="inlineStr">
        <is>
          <t>Table: Detection Metrics</t>
        </is>
      </c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</row>
    <row r="6" ht="26.45" customHeight="1">
      <c r="A6" s="10" t="inlineStr">
        <is>
          <t>E2</t>
        </is>
      </c>
      <c r="B6" s="10" t="inlineStr">
        <is>
          <t>Tree-ID Association</t>
        </is>
      </c>
      <c r="C6" s="10" t="inlineStr">
        <is>
          <t>Does spatial Tree-ID association reduce duplicate inventory records vs detection-only logging?</t>
        </is>
      </c>
      <c r="D6" s="10" t="inlineStr">
        <is>
          <t>≥10–20 unique trees; ≥30 repeated observations</t>
        </is>
      </c>
      <c r="E6" s="10" t="n"/>
      <c r="F6" s="10" t="n"/>
      <c r="G6" s="10" t="inlineStr">
        <is>
          <t>Completed</t>
        </is>
      </c>
      <c r="H6" s="10" t="inlineStr">
        <is>
          <t>2026-05-20</t>
        </is>
      </c>
      <c r="I6" s="4" t="inlineStr">
        <is>
          <t>2026-05-20</t>
        </is>
      </c>
      <c r="J6" s="4" t="inlineStr">
        <is>
          <t>validation/evidence/</t>
        </is>
      </c>
      <c r="K6" s="10" t="n"/>
      <c r="L6" s="10" t="inlineStr">
        <is>
          <t>Table: Tree-ID Baseline Comparison</t>
        </is>
      </c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26.45" customHeight="1">
      <c r="A7" s="10" t="inlineStr">
        <is>
          <t>E3</t>
        </is>
      </c>
      <c r="B7" s="10" t="inlineStr">
        <is>
          <t>Mapping Accuracy</t>
        </is>
      </c>
      <c r="C7" s="10" t="inlineStr">
        <is>
          <t>How close are estimated tree coordinates to reference coordinates?</t>
        </is>
      </c>
      <c r="D7" s="10" t="inlineStr">
        <is>
          <t>≥10–20 reference trees</t>
        </is>
      </c>
      <c r="E7" s="10" t="n"/>
      <c r="F7" s="10" t="n"/>
      <c r="G7" s="10" t="inlineStr">
        <is>
          <t>Completed</t>
        </is>
      </c>
      <c r="H7" s="10" t="inlineStr">
        <is>
          <t>2026-05-20</t>
        </is>
      </c>
      <c r="I7" s="4" t="inlineStr">
        <is>
          <t>2026-05-20</t>
        </is>
      </c>
      <c r="J7" s="4" t="inlineStr">
        <is>
          <t>validation/evidence/</t>
        </is>
      </c>
      <c r="K7" s="10" t="n"/>
      <c r="L7" s="10" t="inlineStr">
        <is>
          <t>Table: Mapping Error</t>
        </is>
      </c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 ht="26.45" customHeight="1">
      <c r="A8" s="10" t="inlineStr">
        <is>
          <t>E4</t>
        </is>
      </c>
      <c r="B8" s="10" t="inlineStr">
        <is>
          <t>End-to-End Runtime</t>
        </is>
      </c>
      <c r="C8" s="10" t="inlineStr">
        <is>
          <t>Can the full pipeline process images, log DB records, export GIS output, and visualize results?</t>
        </is>
      </c>
      <c r="D8" s="10" t="inlineStr">
        <is>
          <t>One full test mission</t>
        </is>
      </c>
      <c r="E8" s="10" t="n"/>
      <c r="F8" s="10" t="n"/>
      <c r="G8" s="10" t="inlineStr">
        <is>
          <t>Completed</t>
        </is>
      </c>
      <c r="H8" s="10" t="inlineStr">
        <is>
          <t>2026-05-20</t>
        </is>
      </c>
      <c r="I8" s="4" t="inlineStr">
        <is>
          <t>2026-05-20</t>
        </is>
      </c>
      <c r="J8" s="4" t="inlineStr">
        <is>
          <t>validation/evidence/</t>
        </is>
      </c>
      <c r="K8" s="10" t="n"/>
      <c r="L8" s="10" t="inlineStr">
        <is>
          <t>Table: Pipeline Validation</t>
        </is>
      </c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26.45" customHeight="1">
      <c r="A9" s="10" t="inlineStr">
        <is>
          <t>E5</t>
        </is>
      </c>
      <c r="B9" s="10" t="inlineStr">
        <is>
          <t>GIS Validation</t>
        </is>
      </c>
      <c r="C9" s="10" t="inlineStr">
        <is>
          <t>Are exported GeoJSON/CSV files complete and GIS-readable?</t>
        </is>
      </c>
      <c r="D9" s="10" t="inlineStr">
        <is>
          <t>One exported map with all final tree records</t>
        </is>
      </c>
      <c r="E9" s="10" t="n"/>
      <c r="F9" s="10" t="n"/>
      <c r="G9" s="10" t="inlineStr">
        <is>
          <t>Completed</t>
        </is>
      </c>
      <c r="H9" s="10" t="inlineStr">
        <is>
          <t>2026-05-20</t>
        </is>
      </c>
      <c r="I9" s="4" t="inlineStr">
        <is>
          <t>2026-05-20</t>
        </is>
      </c>
      <c r="J9" s="4" t="inlineStr">
        <is>
          <t>validation/evidence/</t>
        </is>
      </c>
      <c r="K9" s="10" t="n"/>
      <c r="L9" s="10" t="inlineStr">
        <is>
          <t>Figure: GIS Map</t>
        </is>
      </c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 ht="15" customHeight="1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15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 ht="15" customHeight="1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 ht="15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15" customHeight="1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 ht="15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5" customHeight="1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5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 ht="15" customHeight="1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5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 ht="15" customHeight="1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 ht="15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 ht="15" customHeight="1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 ht="15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 ht="15" customHeight="1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 ht="15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 ht="15" customHeight="1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 ht="15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 ht="15" customHeight="1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 ht="15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 ht="15" customHeight="1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5" customHeight="1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</row>
    <row r="34" ht="15" customHeight="1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</row>
    <row r="35" ht="15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</row>
    <row r="36" ht="15" customHeight="1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 ht="15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</row>
    <row r="38" ht="15" customHeight="1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 ht="15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 ht="15" customHeight="1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</row>
    <row r="41" ht="15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 ht="15" customHeight="1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5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</row>
    <row r="44" ht="15" customHeight="1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</row>
    <row r="45" ht="15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</row>
    <row r="46" ht="15" customHeight="1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 ht="15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</row>
    <row r="48" ht="15" customHeight="1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</row>
    <row r="49" ht="15" customHeight="1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 ht="15" customHeight="1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</row>
    <row r="51" ht="15" customHeight="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</row>
    <row r="52" ht="15" customHeight="1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</row>
    <row r="53" ht="15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5" customHeight="1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</row>
    <row r="55" ht="15" customHeight="1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</row>
    <row r="56" ht="15" customHeight="1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</row>
    <row r="57" ht="15" customHeight="1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</row>
    <row r="58" ht="15" customHeight="1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</row>
    <row r="59" ht="15" customHeight="1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</row>
    <row r="60" ht="15" customHeight="1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</row>
    <row r="61" ht="15" customHeight="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</row>
    <row r="62" ht="15" customHeight="1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</row>
    <row r="63" ht="15" customHeight="1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</row>
    <row r="64" ht="15" customHeight="1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</row>
    <row r="65" ht="15" customHeight="1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</row>
    <row r="66" ht="15" customHeight="1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</row>
    <row r="67" ht="15" customHeight="1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</row>
    <row r="68" ht="15" customHeight="1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</row>
    <row r="69" ht="15" customHeight="1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</row>
    <row r="70" ht="15" customHeight="1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</row>
    <row r="71" ht="15" customHeight="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</row>
    <row r="72" ht="15" customHeight="1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</row>
    <row r="73" ht="15" customHeight="1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</row>
    <row r="74" ht="15" customHeight="1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</row>
    <row r="75" ht="15" customHeight="1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</row>
    <row r="76" ht="15" customHeight="1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 ht="15" customHeight="1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</row>
    <row r="78" ht="15" customHeight="1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</row>
    <row r="79" ht="15" customHeight="1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</row>
    <row r="80" ht="15" customHeight="1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</row>
    <row r="81" ht="15" customHeight="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</row>
    <row r="82" ht="15" customHeight="1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</row>
    <row r="83" ht="15" customHeight="1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</row>
    <row r="84" ht="15" customHeight="1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</row>
    <row r="85" ht="15" customHeight="1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</row>
    <row r="86" ht="15" customHeight="1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</row>
    <row r="87" ht="15" customHeight="1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</row>
    <row r="88" ht="15" customHeight="1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</row>
    <row r="89" ht="15" customHeight="1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</row>
    <row r="90" ht="15" customHeight="1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</row>
    <row r="91" ht="15" customHeight="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</row>
    <row r="92" ht="15" customHeight="1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</row>
    <row r="93" ht="15" customHeight="1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</row>
    <row r="94" ht="15" customHeight="1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</row>
    <row r="95" ht="15" customHeight="1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</row>
    <row r="96" ht="15" customHeight="1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</row>
    <row r="97" ht="15" customHeight="1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</row>
    <row r="98" ht="15" customHeight="1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</row>
    <row r="99" ht="15" customHeight="1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</row>
    <row r="100" ht="15" customHeight="1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</row>
    <row r="101" ht="15" customHeight="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</row>
    <row r="102" ht="15" customHeight="1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</row>
    <row r="103" ht="15" customHeight="1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</row>
    <row r="104" ht="15" customHeight="1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</row>
    <row r="105" ht="15" customHeight="1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</row>
    <row r="106" ht="15" customHeight="1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</row>
    <row r="107" ht="15" customHeight="1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</row>
    <row r="108" ht="15" customHeight="1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</row>
    <row r="109" ht="15" customHeight="1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</row>
    <row r="110" ht="15" customHeight="1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</row>
    <row r="111" ht="15" customHeight="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</row>
    <row r="112" ht="15" customHeight="1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</row>
    <row r="113" ht="15" customHeight="1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</row>
    <row r="114" ht="15" customHeight="1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</row>
    <row r="115" ht="15" customHeight="1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</row>
    <row r="116" ht="15" customHeight="1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</row>
    <row r="117" ht="15" customHeight="1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</row>
    <row r="118" ht="15" customHeight="1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</row>
    <row r="119" ht="15" customHeight="1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</row>
    <row r="120" ht="15" customHeight="1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</row>
    <row r="121" ht="15" customHeight="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</row>
    <row r="122" ht="15" customHeight="1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</row>
    <row r="123" ht="15" customHeight="1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</row>
    <row r="124" ht="15" customHeight="1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</row>
    <row r="125" ht="15" customHeight="1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</row>
    <row r="126" ht="15" customHeight="1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</row>
    <row r="127" ht="15" customHeight="1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</row>
    <row r="128" ht="15" customHeight="1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</row>
    <row r="129" ht="15" customHeight="1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</row>
    <row r="130" ht="15" customHeight="1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</row>
    <row r="131" ht="15" customHeight="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</row>
    <row r="132" ht="15" customHeight="1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</row>
    <row r="133" ht="15" customHeight="1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</row>
    <row r="134" ht="15" customHeight="1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</row>
    <row r="135" ht="15" customHeight="1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</row>
    <row r="136" ht="15" customHeight="1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</row>
    <row r="137" ht="15" customHeight="1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</row>
    <row r="138" ht="15" customHeight="1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</row>
    <row r="139" ht="15" customHeight="1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</row>
    <row r="140" ht="15" customHeight="1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</row>
    <row r="141" ht="15" customHeight="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</row>
    <row r="142" ht="15" customHeight="1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</row>
    <row r="143" ht="15" customHeight="1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</row>
    <row r="144" ht="15" customHeight="1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</row>
    <row r="145" ht="15" customHeight="1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</row>
    <row r="146" ht="15" customHeight="1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</row>
    <row r="147" ht="15" customHeight="1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</row>
    <row r="148" ht="15" customHeight="1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</row>
    <row r="149" ht="15" customHeight="1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</row>
    <row r="150" ht="15" customHeight="1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</row>
    <row r="151" ht="15" customHeight="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</row>
    <row r="152" ht="15" customHeight="1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</row>
    <row r="153" ht="15" customHeight="1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</row>
    <row r="154" ht="15" customHeight="1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</row>
    <row r="155" ht="15" customHeight="1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</row>
    <row r="156" ht="15" customHeight="1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</row>
    <row r="157" ht="15" customHeight="1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</row>
    <row r="158" ht="15" customHeight="1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</row>
    <row r="159" ht="15" customHeight="1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</row>
    <row r="160" ht="15" customHeight="1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</row>
    <row r="161" ht="15" customHeight="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</row>
    <row r="162" ht="15" customHeight="1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</row>
    <row r="163" ht="15" customHeight="1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</row>
    <row r="164" ht="15" customHeight="1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</row>
    <row r="165" ht="15" customHeight="1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</row>
    <row r="166" ht="15" customHeight="1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</row>
    <row r="167" ht="15" customHeight="1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</row>
    <row r="168" ht="15" customHeight="1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</row>
    <row r="169" ht="15" customHeight="1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</row>
    <row r="170" ht="15" customHeight="1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</row>
    <row r="171" ht="15" customHeight="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</row>
    <row r="172" ht="15" customHeight="1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</row>
    <row r="173" ht="15" customHeight="1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</row>
    <row r="174" ht="15" customHeight="1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</row>
    <row r="175" ht="15" customHeight="1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</row>
    <row r="176" ht="15" customHeight="1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</row>
    <row r="177" ht="15" customHeight="1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</row>
    <row r="178" ht="15" customHeight="1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</row>
    <row r="179" ht="15" customHeight="1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</row>
    <row r="180" ht="15" customHeight="1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</row>
    <row r="181" ht="15" customHeight="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</row>
    <row r="182" ht="15" customHeight="1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</row>
    <row r="183" ht="15" customHeight="1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</row>
    <row r="184" ht="15" customHeight="1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</row>
    <row r="185" ht="15" customHeight="1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</row>
    <row r="186" ht="15" customHeight="1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</row>
    <row r="187" ht="15" customHeight="1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</row>
    <row r="188" ht="15" customHeight="1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</row>
    <row r="189" ht="15" customHeight="1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</row>
    <row r="190" ht="15" customHeight="1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</row>
    <row r="191" ht="15" customHeight="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</row>
    <row r="192" ht="15" customHeight="1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</row>
    <row r="193" ht="15" customHeight="1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</row>
    <row r="194" ht="15" customHeight="1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</row>
    <row r="195" ht="15" customHeight="1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</row>
    <row r="196" ht="15" customHeight="1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</row>
    <row r="197" ht="15" customHeight="1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</row>
    <row r="198" ht="15" customHeight="1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</row>
    <row r="199" ht="15" customHeight="1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</row>
    <row r="200" ht="15" customHeight="1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</row>
  </sheetData>
  <mergeCells count="2">
    <mergeCell ref="A1:J1"/>
    <mergeCell ref="A2:J2"/>
  </mergeCells>
  <conditionalFormatting sqref="H5:H9">
    <cfRule type="expression" priority="1" dxfId="2">
      <formula>H5="Verified"</formula>
    </cfRule>
  </conditionalFormatting>
  <dataValidations count="1">
    <dataValidation sqref="H5:H9" showDropDown="0" showInputMessage="0" showErrorMessage="0" allowBlank="0" type="list">
      <formula1>"Not Started,Running,Blocked,Completed,Verified"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0"/>
  <sheetViews>
    <sheetView topLeftCell="A4" workbookViewId="0">
      <selection activeCell="A1" sqref="A1:J1"/>
    </sheetView>
  </sheetViews>
  <sheetFormatPr baseColWidth="8" defaultRowHeight="14.25"/>
  <cols>
    <col width="10" customWidth="1" min="1" max="1"/>
    <col width="18" customWidth="1" min="2" max="2"/>
    <col width="14" customWidth="1" min="3" max="3"/>
    <col width="12" customWidth="1" min="4" max="4"/>
    <col width="14" customWidth="1" min="5" max="5"/>
    <col width="8" customWidth="1" min="6" max="8"/>
    <col width="12" customWidth="1" min="9" max="10"/>
    <col width="10" customWidth="1" min="11" max="12"/>
    <col width="12" customWidth="1" min="13" max="13"/>
    <col width="16" customWidth="1" min="14" max="14"/>
    <col width="10" customWidth="1" min="15" max="15"/>
    <col width="32" customWidth="1" min="16" max="16"/>
    <col width="35" customWidth="1" min="17" max="17"/>
  </cols>
  <sheetData>
    <row r="1" ht="115.15" customHeight="1">
      <c r="A1" s="9" t="inlineStr">
        <is>
          <t>Experiment E1 — Palm Detection Metrics</t>
        </is>
      </c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 ht="108" customHeight="1">
      <c r="A2" s="11" t="inlineStr">
        <is>
          <t>Run on the fixed test set only. Enter TP/FP/FN and optional mAP values from YOLO validation output.</t>
        </is>
      </c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 ht="15" customHeight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</row>
    <row r="4" ht="26.45" customHeight="1">
      <c r="A4" s="1" t="inlineStr">
        <is>
          <t>Run_ID</t>
        </is>
      </c>
      <c r="B4" s="1" t="inlineStr">
        <is>
          <t>Model</t>
        </is>
      </c>
      <c r="C4" s="1" t="inlineStr">
        <is>
          <t>Dataset Split</t>
        </is>
      </c>
      <c r="D4" s="1" t="inlineStr">
        <is>
          <t>No. Images</t>
        </is>
      </c>
      <c r="E4" s="1" t="inlineStr">
        <is>
          <t>Palm Instances</t>
        </is>
      </c>
      <c r="F4" s="1" t="inlineStr">
        <is>
          <t>TP</t>
        </is>
      </c>
      <c r="G4" s="1" t="inlineStr">
        <is>
          <t>FP</t>
        </is>
      </c>
      <c r="H4" s="1" t="inlineStr">
        <is>
          <t>FN</t>
        </is>
      </c>
      <c r="I4" s="1" t="inlineStr">
        <is>
          <t>Precision</t>
        </is>
      </c>
      <c r="J4" s="1" t="inlineStr">
        <is>
          <t>Recall</t>
        </is>
      </c>
      <c r="K4" s="1" t="inlineStr">
        <is>
          <t>F1</t>
        </is>
      </c>
      <c r="L4" s="1" t="inlineStr">
        <is>
          <t>mAP@0.5</t>
        </is>
      </c>
      <c r="M4" s="1" t="inlineStr">
        <is>
          <t>mAP@0.5:0.95</t>
        </is>
      </c>
      <c r="N4" s="1" t="inlineStr">
        <is>
          <t>Inference ms/frame</t>
        </is>
      </c>
      <c r="O4" s="1" t="inlineStr">
        <is>
          <t>FPS</t>
        </is>
      </c>
      <c r="P4" s="1" t="inlineStr">
        <is>
          <t>Weights/Config Path</t>
        </is>
      </c>
      <c r="Q4" s="1" t="inlineStr">
        <is>
          <t>Notes</t>
        </is>
      </c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</row>
    <row r="5" ht="15" customHeight="1">
      <c r="A5" s="10" t="inlineStr">
        <is>
          <t>D01</t>
        </is>
      </c>
      <c r="B5" s="10" t="inlineStr">
        <is>
          <t>YOLOv8n-palm</t>
        </is>
      </c>
      <c r="C5" s="10" t="inlineStr">
        <is>
          <t>val</t>
        </is>
      </c>
      <c r="D5" s="10" t="n">
        <v>20</v>
      </c>
      <c r="E5" s="10" t="n">
        <v>20</v>
      </c>
      <c r="F5" s="10" t="n"/>
      <c r="G5" s="10" t="n"/>
      <c r="H5" s="10" t="n"/>
      <c r="I5" s="5" t="n">
        <v>0.6355</v>
      </c>
      <c r="J5" s="5" t="n">
        <v>0.45</v>
      </c>
      <c r="K5" s="5" t="n">
        <v>0.5269</v>
      </c>
      <c r="L5" s="5" t="n">
        <v>0.5044</v>
      </c>
      <c r="M5" s="5" t="n">
        <v>0.1318</v>
      </c>
      <c r="N5" s="6" t="n">
        <v>108.4</v>
      </c>
      <c r="O5" s="6" t="n">
        <v>9.199999999999999</v>
      </c>
      <c r="P5" s="10" t="inlineStr">
        <is>
          <t>models/palm_tree_detector.pt</t>
        </is>
      </c>
      <c r="Q5" s="10" t="inlineStr">
        <is>
          <t>Real validation results from PalmMapBot dataset (val split)</t>
        </is>
      </c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</row>
    <row r="6" ht="15" customHeight="1">
      <c r="A6" s="10" t="inlineStr">
        <is>
          <t>D02</t>
        </is>
      </c>
      <c r="B6" s="10" t="n"/>
      <c r="C6" s="10" t="inlineStr">
        <is>
          <t>Test</t>
        </is>
      </c>
      <c r="D6" s="10" t="n"/>
      <c r="E6" s="10" t="n"/>
      <c r="F6" s="10" t="n"/>
      <c r="G6" s="10" t="n"/>
      <c r="H6" s="10" t="n"/>
      <c r="I6" s="5">
        <f>IFERROR(F6/(F6+G6),"")</f>
        <v/>
      </c>
      <c r="J6" s="5">
        <f>IFERROR(F6/(F6+H6),"")</f>
        <v/>
      </c>
      <c r="K6" s="5">
        <f>IFERROR(2*I6*J6/(I6+J6),"")</f>
        <v/>
      </c>
      <c r="L6" s="5" t="n"/>
      <c r="M6" s="5" t="n"/>
      <c r="N6" s="6" t="n"/>
      <c r="O6" s="6">
        <f>IFERROR(1000/N6,"")</f>
        <v/>
      </c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15" customHeight="1">
      <c r="A7" s="10" t="inlineStr">
        <is>
          <t>D03</t>
        </is>
      </c>
      <c r="B7" s="10" t="n"/>
      <c r="C7" s="10" t="inlineStr">
        <is>
          <t>Test</t>
        </is>
      </c>
      <c r="D7" s="10" t="n"/>
      <c r="E7" s="10" t="n"/>
      <c r="F7" s="10" t="n"/>
      <c r="G7" s="10" t="n"/>
      <c r="H7" s="10" t="n"/>
      <c r="I7" s="5">
        <f>IFERROR(F7/(F7+G7),"")</f>
        <v/>
      </c>
      <c r="J7" s="5">
        <f>IFERROR(F7/(F7+H7),"")</f>
        <v/>
      </c>
      <c r="K7" s="5">
        <f>IFERROR(2*I7*J7/(I7+J7),"")</f>
        <v/>
      </c>
      <c r="L7" s="5" t="n"/>
      <c r="M7" s="5" t="n"/>
      <c r="N7" s="6" t="n"/>
      <c r="O7" s="6">
        <f>IFERROR(1000/N7,"")</f>
        <v/>
      </c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 ht="15" customHeight="1">
      <c r="A8" s="10" t="inlineStr">
        <is>
          <t>D04</t>
        </is>
      </c>
      <c r="B8" s="10" t="n"/>
      <c r="C8" s="10" t="inlineStr">
        <is>
          <t>Test</t>
        </is>
      </c>
      <c r="D8" s="10" t="n"/>
      <c r="E8" s="10" t="n"/>
      <c r="F8" s="10" t="n"/>
      <c r="G8" s="10" t="n"/>
      <c r="H8" s="10" t="n"/>
      <c r="I8" s="5">
        <f>IFERROR(F8/(F8+G8),"")</f>
        <v/>
      </c>
      <c r="J8" s="5">
        <f>IFERROR(F8/(F8+H8),"")</f>
        <v/>
      </c>
      <c r="K8" s="5">
        <f>IFERROR(2*I8*J8/(I8+J8),"")</f>
        <v/>
      </c>
      <c r="L8" s="5" t="n"/>
      <c r="M8" s="5" t="n"/>
      <c r="N8" s="6" t="n"/>
      <c r="O8" s="6">
        <f>IFERROR(1000/N8,"")</f>
        <v/>
      </c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5" customHeight="1">
      <c r="A9" s="10" t="inlineStr">
        <is>
          <t>D05</t>
        </is>
      </c>
      <c r="B9" s="10" t="n"/>
      <c r="C9" s="10" t="inlineStr">
        <is>
          <t>Test</t>
        </is>
      </c>
      <c r="D9" s="10" t="n"/>
      <c r="E9" s="10" t="n"/>
      <c r="F9" s="10" t="n"/>
      <c r="G9" s="10" t="n"/>
      <c r="H9" s="10" t="n"/>
      <c r="I9" s="5">
        <f>IFERROR(F9/(F9+G9),"")</f>
        <v/>
      </c>
      <c r="J9" s="5">
        <f>IFERROR(F9/(F9+H9),"")</f>
        <v/>
      </c>
      <c r="K9" s="5">
        <f>IFERROR(2*I9*J9/(I9+J9),"")</f>
        <v/>
      </c>
      <c r="L9" s="5" t="n"/>
      <c r="M9" s="5" t="n"/>
      <c r="N9" s="6" t="n"/>
      <c r="O9" s="6">
        <f>IFERROR(1000/N9,"")</f>
        <v/>
      </c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15" customHeight="1">
      <c r="A10" s="10" t="inlineStr">
        <is>
          <t>D06</t>
        </is>
      </c>
      <c r="B10" s="10" t="n"/>
      <c r="C10" s="10" t="inlineStr">
        <is>
          <t>Test</t>
        </is>
      </c>
      <c r="D10" s="10" t="n"/>
      <c r="E10" s="10" t="n"/>
      <c r="F10" s="10" t="n"/>
      <c r="G10" s="10" t="n"/>
      <c r="H10" s="10" t="n"/>
      <c r="I10" s="5">
        <f>IFERROR(F10/(F10+G10),"")</f>
        <v/>
      </c>
      <c r="J10" s="5">
        <f>IFERROR(F10/(F10+H10),"")</f>
        <v/>
      </c>
      <c r="K10" s="5">
        <f>IFERROR(2*I10*J10/(I10+J10),"")</f>
        <v/>
      </c>
      <c r="L10" s="5" t="n"/>
      <c r="M10" s="5" t="n"/>
      <c r="N10" s="6" t="n"/>
      <c r="O10" s="6">
        <f>IFERROR(1000/N10,"")</f>
        <v/>
      </c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 ht="15" customHeight="1">
      <c r="A11" s="10" t="inlineStr">
        <is>
          <t>D07</t>
        </is>
      </c>
      <c r="B11" s="10" t="n"/>
      <c r="C11" s="10" t="inlineStr">
        <is>
          <t>Test</t>
        </is>
      </c>
      <c r="D11" s="10" t="n"/>
      <c r="E11" s="10" t="n"/>
      <c r="F11" s="10" t="n"/>
      <c r="G11" s="10" t="n"/>
      <c r="H11" s="10" t="n"/>
      <c r="I11" s="5">
        <f>IFERROR(F11/(F11+G11),"")</f>
        <v/>
      </c>
      <c r="J11" s="5">
        <f>IFERROR(F11/(F11+H11),"")</f>
        <v/>
      </c>
      <c r="K11" s="5">
        <f>IFERROR(2*I11*J11/(I11+J11),"")</f>
        <v/>
      </c>
      <c r="L11" s="5" t="n"/>
      <c r="M11" s="5" t="n"/>
      <c r="N11" s="6" t="n"/>
      <c r="O11" s="6">
        <f>IFERROR(1000/N11,"")</f>
        <v/>
      </c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 ht="15" customHeight="1">
      <c r="A12" s="10" t="inlineStr">
        <is>
          <t>D08</t>
        </is>
      </c>
      <c r="B12" s="10" t="n"/>
      <c r="C12" s="10" t="inlineStr">
        <is>
          <t>Test</t>
        </is>
      </c>
      <c r="D12" s="10" t="n"/>
      <c r="E12" s="10" t="n"/>
      <c r="F12" s="10" t="n"/>
      <c r="G12" s="10" t="n"/>
      <c r="H12" s="10" t="n"/>
      <c r="I12" s="5">
        <f>IFERROR(F12/(F12+G12),"")</f>
        <v/>
      </c>
      <c r="J12" s="5">
        <f>IFERROR(F12/(F12+H12),"")</f>
        <v/>
      </c>
      <c r="K12" s="5">
        <f>IFERROR(2*I12*J12/(I12+J12),"")</f>
        <v/>
      </c>
      <c r="L12" s="5" t="n"/>
      <c r="M12" s="5" t="n"/>
      <c r="N12" s="6" t="n"/>
      <c r="O12" s="6">
        <f>IFERROR(1000/N12,"")</f>
        <v/>
      </c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15" customHeight="1">
      <c r="A13" s="10" t="inlineStr">
        <is>
          <t>D09</t>
        </is>
      </c>
      <c r="B13" s="10" t="n"/>
      <c r="C13" s="10" t="inlineStr">
        <is>
          <t>Test</t>
        </is>
      </c>
      <c r="D13" s="10" t="n"/>
      <c r="E13" s="10" t="n"/>
      <c r="F13" s="10" t="n"/>
      <c r="G13" s="10" t="n"/>
      <c r="H13" s="10" t="n"/>
      <c r="I13" s="5">
        <f>IFERROR(F13/(F13+G13),"")</f>
        <v/>
      </c>
      <c r="J13" s="5">
        <f>IFERROR(F13/(F13+H13),"")</f>
        <v/>
      </c>
      <c r="K13" s="5">
        <f>IFERROR(2*I13*J13/(I13+J13),"")</f>
        <v/>
      </c>
      <c r="L13" s="5" t="n"/>
      <c r="M13" s="5" t="n"/>
      <c r="N13" s="6" t="n"/>
      <c r="O13" s="6">
        <f>IFERROR(1000/N13,"")</f>
        <v/>
      </c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 ht="15" customHeight="1">
      <c r="A14" s="10" t="inlineStr">
        <is>
          <t>D10</t>
        </is>
      </c>
      <c r="B14" s="10" t="n"/>
      <c r="C14" s="10" t="inlineStr">
        <is>
          <t>Test</t>
        </is>
      </c>
      <c r="D14" s="10" t="n"/>
      <c r="E14" s="10" t="n"/>
      <c r="F14" s="10" t="n"/>
      <c r="G14" s="10" t="n"/>
      <c r="H14" s="10" t="n"/>
      <c r="I14" s="5">
        <f>IFERROR(F14/(F14+G14),"")</f>
        <v/>
      </c>
      <c r="J14" s="5">
        <f>IFERROR(F14/(F14+H14),"")</f>
        <v/>
      </c>
      <c r="K14" s="5">
        <f>IFERROR(2*I14*J14/(I14+J14),"")</f>
        <v/>
      </c>
      <c r="L14" s="5" t="n"/>
      <c r="M14" s="5" t="n"/>
      <c r="N14" s="6" t="n"/>
      <c r="O14" s="6">
        <f>IFERROR(1000/N14,"")</f>
        <v/>
      </c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 ht="15" customHeight="1">
      <c r="A15" s="10" t="inlineStr">
        <is>
          <t>D11</t>
        </is>
      </c>
      <c r="B15" s="10" t="n"/>
      <c r="C15" s="10" t="inlineStr">
        <is>
          <t>Test</t>
        </is>
      </c>
      <c r="D15" s="10" t="n"/>
      <c r="E15" s="10" t="n"/>
      <c r="F15" s="10" t="n"/>
      <c r="G15" s="10" t="n"/>
      <c r="H15" s="10" t="n"/>
      <c r="I15" s="5">
        <f>IFERROR(F15/(F15+G15),"")</f>
        <v/>
      </c>
      <c r="J15" s="5">
        <f>IFERROR(F15/(F15+H15),"")</f>
        <v/>
      </c>
      <c r="K15" s="5">
        <f>IFERROR(2*I15*J15/(I15+J15),"")</f>
        <v/>
      </c>
      <c r="L15" s="5" t="n"/>
      <c r="M15" s="5" t="n"/>
      <c r="N15" s="6" t="n"/>
      <c r="O15" s="6">
        <f>IFERROR(1000/N15,"")</f>
        <v/>
      </c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15" customHeight="1">
      <c r="A16" s="10" t="inlineStr">
        <is>
          <t>D12</t>
        </is>
      </c>
      <c r="B16" s="10" t="n"/>
      <c r="C16" s="10" t="inlineStr">
        <is>
          <t>Test</t>
        </is>
      </c>
      <c r="D16" s="10" t="n"/>
      <c r="E16" s="10" t="n"/>
      <c r="F16" s="10" t="n"/>
      <c r="G16" s="10" t="n"/>
      <c r="H16" s="10" t="n"/>
      <c r="I16" s="5">
        <f>IFERROR(F16/(F16+G16),"")</f>
        <v/>
      </c>
      <c r="J16" s="5">
        <f>IFERROR(F16/(F16+H16),"")</f>
        <v/>
      </c>
      <c r="K16" s="5">
        <f>IFERROR(2*I16*J16/(I16+J16),"")</f>
        <v/>
      </c>
      <c r="L16" s="5" t="n"/>
      <c r="M16" s="5" t="n"/>
      <c r="N16" s="6" t="n"/>
      <c r="O16" s="6">
        <f>IFERROR(1000/N16,"")</f>
        <v/>
      </c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 ht="15" customHeight="1">
      <c r="A17" s="10" t="inlineStr">
        <is>
          <t>D13</t>
        </is>
      </c>
      <c r="B17" s="10" t="n"/>
      <c r="C17" s="10" t="inlineStr">
        <is>
          <t>Test</t>
        </is>
      </c>
      <c r="D17" s="10" t="n"/>
      <c r="E17" s="10" t="n"/>
      <c r="F17" s="10" t="n"/>
      <c r="G17" s="10" t="n"/>
      <c r="H17" s="10" t="n"/>
      <c r="I17" s="5">
        <f>IFERROR(F17/(F17+G17),"")</f>
        <v/>
      </c>
      <c r="J17" s="5">
        <f>IFERROR(F17/(F17+H17),"")</f>
        <v/>
      </c>
      <c r="K17" s="5">
        <f>IFERROR(2*I17*J17/(I17+J17),"")</f>
        <v/>
      </c>
      <c r="L17" s="5" t="n"/>
      <c r="M17" s="5" t="n"/>
      <c r="N17" s="6" t="n"/>
      <c r="O17" s="6">
        <f>IFERROR(1000/N17,"")</f>
        <v/>
      </c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5" customHeight="1">
      <c r="A18" s="10" t="inlineStr">
        <is>
          <t>D14</t>
        </is>
      </c>
      <c r="B18" s="10" t="n"/>
      <c r="C18" s="10" t="inlineStr">
        <is>
          <t>Test</t>
        </is>
      </c>
      <c r="D18" s="10" t="n"/>
      <c r="E18" s="10" t="n"/>
      <c r="F18" s="10" t="n"/>
      <c r="G18" s="10" t="n"/>
      <c r="H18" s="10" t="n"/>
      <c r="I18" s="5">
        <f>IFERROR(F18/(F18+G18),"")</f>
        <v/>
      </c>
      <c r="J18" s="5">
        <f>IFERROR(F18/(F18+H18),"")</f>
        <v/>
      </c>
      <c r="K18" s="5">
        <f>IFERROR(2*I18*J18/(I18+J18),"")</f>
        <v/>
      </c>
      <c r="L18" s="5" t="n"/>
      <c r="M18" s="5" t="n"/>
      <c r="N18" s="6" t="n"/>
      <c r="O18" s="6">
        <f>IFERROR(1000/N18,"")</f>
        <v/>
      </c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5" customHeight="1">
      <c r="A19" s="10" t="inlineStr">
        <is>
          <t>D15</t>
        </is>
      </c>
      <c r="B19" s="10" t="n"/>
      <c r="C19" s="10" t="inlineStr">
        <is>
          <t>Test</t>
        </is>
      </c>
      <c r="D19" s="10" t="n"/>
      <c r="E19" s="10" t="n"/>
      <c r="F19" s="10" t="n"/>
      <c r="G19" s="10" t="n"/>
      <c r="H19" s="10" t="n"/>
      <c r="I19" s="5">
        <f>IFERROR(F19/(F19+G19),"")</f>
        <v/>
      </c>
      <c r="J19" s="5">
        <f>IFERROR(F19/(F19+H19),"")</f>
        <v/>
      </c>
      <c r="K19" s="5">
        <f>IFERROR(2*I19*J19/(I19+J19),"")</f>
        <v/>
      </c>
      <c r="L19" s="5" t="n"/>
      <c r="M19" s="5" t="n"/>
      <c r="N19" s="6" t="n"/>
      <c r="O19" s="6">
        <f>IFERROR(1000/N19,"")</f>
        <v/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 ht="15" customHeight="1">
      <c r="A20" s="10" t="inlineStr">
        <is>
          <t>D16</t>
        </is>
      </c>
      <c r="B20" s="10" t="n"/>
      <c r="C20" s="10" t="inlineStr">
        <is>
          <t>Test</t>
        </is>
      </c>
      <c r="D20" s="10" t="n"/>
      <c r="E20" s="10" t="n"/>
      <c r="F20" s="10" t="n"/>
      <c r="G20" s="10" t="n"/>
      <c r="H20" s="10" t="n"/>
      <c r="I20" s="5">
        <f>IFERROR(F20/(F20+G20),"")</f>
        <v/>
      </c>
      <c r="J20" s="5">
        <f>IFERROR(F20/(F20+H20),"")</f>
        <v/>
      </c>
      <c r="K20" s="5">
        <f>IFERROR(2*I20*J20/(I20+J20),"")</f>
        <v/>
      </c>
      <c r="L20" s="5" t="n"/>
      <c r="M20" s="5" t="n"/>
      <c r="N20" s="6" t="n"/>
      <c r="O20" s="6">
        <f>IFERROR(1000/N20,"")</f>
        <v/>
      </c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5" customHeight="1">
      <c r="A21" s="10" t="inlineStr">
        <is>
          <t>D17</t>
        </is>
      </c>
      <c r="B21" s="10" t="n"/>
      <c r="C21" s="10" t="inlineStr">
        <is>
          <t>Test</t>
        </is>
      </c>
      <c r="D21" s="10" t="n"/>
      <c r="E21" s="10" t="n"/>
      <c r="F21" s="10" t="n"/>
      <c r="G21" s="10" t="n"/>
      <c r="H21" s="10" t="n"/>
      <c r="I21" s="5">
        <f>IFERROR(F21/(F21+G21),"")</f>
        <v/>
      </c>
      <c r="J21" s="5">
        <f>IFERROR(F21/(F21+H21),"")</f>
        <v/>
      </c>
      <c r="K21" s="5">
        <f>IFERROR(2*I21*J21/(I21+J21),"")</f>
        <v/>
      </c>
      <c r="L21" s="5" t="n"/>
      <c r="M21" s="5" t="n"/>
      <c r="N21" s="6" t="n"/>
      <c r="O21" s="6">
        <f>IFERROR(1000/N21,"")</f>
        <v/>
      </c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 ht="15" customHeight="1">
      <c r="A22" s="10" t="inlineStr">
        <is>
          <t>D18</t>
        </is>
      </c>
      <c r="B22" s="10" t="n"/>
      <c r="C22" s="10" t="inlineStr">
        <is>
          <t>Test</t>
        </is>
      </c>
      <c r="D22" s="10" t="n"/>
      <c r="E22" s="10" t="n"/>
      <c r="F22" s="10" t="n"/>
      <c r="G22" s="10" t="n"/>
      <c r="H22" s="10" t="n"/>
      <c r="I22" s="5">
        <f>IFERROR(F22/(F22+G22),"")</f>
        <v/>
      </c>
      <c r="J22" s="5">
        <f>IFERROR(F22/(F22+H22),"")</f>
        <v/>
      </c>
      <c r="K22" s="5">
        <f>IFERROR(2*I22*J22/(I22+J22),"")</f>
        <v/>
      </c>
      <c r="L22" s="5" t="n"/>
      <c r="M22" s="5" t="n"/>
      <c r="N22" s="6" t="n"/>
      <c r="O22" s="6">
        <f>IFERROR(1000/N22,"")</f>
        <v/>
      </c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 ht="15" customHeight="1">
      <c r="A23" s="10" t="inlineStr">
        <is>
          <t>D19</t>
        </is>
      </c>
      <c r="B23" s="10" t="n"/>
      <c r="C23" s="10" t="inlineStr">
        <is>
          <t>Test</t>
        </is>
      </c>
      <c r="D23" s="10" t="n"/>
      <c r="E23" s="10" t="n"/>
      <c r="F23" s="10" t="n"/>
      <c r="G23" s="10" t="n"/>
      <c r="H23" s="10" t="n"/>
      <c r="I23" s="5">
        <f>IFERROR(F23/(F23+G23),"")</f>
        <v/>
      </c>
      <c r="J23" s="5">
        <f>IFERROR(F23/(F23+H23),"")</f>
        <v/>
      </c>
      <c r="K23" s="5">
        <f>IFERROR(2*I23*J23/(I23+J23),"")</f>
        <v/>
      </c>
      <c r="L23" s="5" t="n"/>
      <c r="M23" s="5" t="n"/>
      <c r="N23" s="6" t="n"/>
      <c r="O23" s="6">
        <f>IFERROR(1000/N23,"")</f>
        <v/>
      </c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 ht="15" customHeight="1">
      <c r="A24" s="10" t="inlineStr">
        <is>
          <t>D20</t>
        </is>
      </c>
      <c r="B24" s="10" t="n"/>
      <c r="C24" s="10" t="inlineStr">
        <is>
          <t>Test</t>
        </is>
      </c>
      <c r="D24" s="10" t="n"/>
      <c r="E24" s="10" t="n"/>
      <c r="F24" s="10" t="n"/>
      <c r="G24" s="10" t="n"/>
      <c r="H24" s="10" t="n"/>
      <c r="I24" s="5">
        <f>IFERROR(F24/(F24+G24),"")</f>
        <v/>
      </c>
      <c r="J24" s="5">
        <f>IFERROR(F24/(F24+H24),"")</f>
        <v/>
      </c>
      <c r="K24" s="5">
        <f>IFERROR(2*I24*J24/(I24+J24),"")</f>
        <v/>
      </c>
      <c r="L24" s="5" t="n"/>
      <c r="M24" s="5" t="n"/>
      <c r="N24" s="6" t="n"/>
      <c r="O24" s="6">
        <f>IFERROR(1000/N24,"")</f>
        <v/>
      </c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 ht="15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 ht="39.6" customHeight="1">
      <c r="A26" s="1" t="inlineStr">
        <is>
          <t>Manuscript-ready summary</t>
        </is>
      </c>
      <c r="B26" s="1" t="inlineStr">
        <is>
          <t>Formula</t>
        </is>
      </c>
      <c r="C26" s="1" t="inlineStr">
        <is>
          <t>Value</t>
        </is>
      </c>
      <c r="D26" s="1" t="inlineStr">
        <is>
          <t>Target/Comment</t>
        </is>
      </c>
      <c r="E26" s="1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 ht="39.6" customHeight="1">
      <c r="A27" s="10" t="inlineStr">
        <is>
          <t>Best F1</t>
        </is>
      </c>
      <c r="B27" s="10">
        <f>MAX(K5:K24)</f>
        <v/>
      </c>
      <c r="C27" s="5">
        <f>B27</f>
        <v/>
      </c>
      <c r="D27" s="10" t="inlineStr">
        <is>
          <t>Use the best verified test run.</t>
        </is>
      </c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 ht="39.6" customHeight="1">
      <c r="A28" s="10" t="inlineStr">
        <is>
          <t>Best mAP@0.5</t>
        </is>
      </c>
      <c r="B28" s="10">
        <f>MAX(L5:L24)</f>
        <v/>
      </c>
      <c r="C28" s="5">
        <f>B28</f>
        <v/>
      </c>
      <c r="D28" s="10" t="inlineStr">
        <is>
          <t>Only if measured by validation tool.</t>
        </is>
      </c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 ht="39.6" customHeight="1">
      <c r="A29" s="10" t="inlineStr">
        <is>
          <t>Mean FPS</t>
        </is>
      </c>
      <c r="B29" s="10">
        <f>IFERROR(AVERAGEIF(O5:O24,"&gt;0",O5:O24),"")</f>
        <v/>
      </c>
      <c r="C29" s="5">
        <f>B29</f>
        <v/>
      </c>
      <c r="D29" s="10" t="inlineStr">
        <is>
          <t>Report hardware used.</t>
        </is>
      </c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 ht="52.7" customHeight="1">
      <c r="A30" s="10" t="inlineStr">
        <is>
          <t>Detection evidence ready?</t>
        </is>
      </c>
      <c r="B30" s="10" t="n"/>
      <c r="C30" s="10" t="n"/>
      <c r="D30" s="10" t="inlineStr">
        <is>
          <t>Attach labels, prediction screenshots, validation logs.</t>
        </is>
      </c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 ht="15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 ht="15" customHeight="1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5" customHeight="1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</row>
    <row r="34" ht="15" customHeight="1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</row>
    <row r="35" ht="15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</row>
    <row r="36" ht="15" customHeight="1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 ht="15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</row>
    <row r="38" ht="15" customHeight="1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 ht="15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 ht="15" customHeight="1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</row>
    <row r="41" ht="15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 ht="15" customHeight="1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5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</row>
    <row r="44" ht="15" customHeight="1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</row>
    <row r="45" ht="15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</row>
    <row r="46" ht="15" customHeight="1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 ht="15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</row>
    <row r="48" ht="15" customHeight="1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</row>
    <row r="49" ht="15" customHeight="1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 ht="15" customHeight="1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</row>
    <row r="51" ht="15" customHeight="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</row>
    <row r="52" ht="15" customHeight="1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</row>
    <row r="53" ht="15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5" customHeight="1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</row>
    <row r="55" ht="15" customHeight="1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</row>
    <row r="56" ht="15" customHeight="1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</row>
    <row r="57" ht="15" customHeight="1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</row>
    <row r="58" ht="15" customHeight="1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</row>
    <row r="59" ht="15" customHeight="1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</row>
    <row r="60" ht="15" customHeight="1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</row>
    <row r="61" ht="15" customHeight="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</row>
    <row r="62" ht="15" customHeight="1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</row>
    <row r="63" ht="15" customHeight="1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</row>
    <row r="64" ht="15" customHeight="1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</row>
    <row r="65" ht="15" customHeight="1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</row>
    <row r="66" ht="15" customHeight="1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</row>
    <row r="67" ht="15" customHeight="1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</row>
    <row r="68" ht="15" customHeight="1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</row>
    <row r="69" ht="15" customHeight="1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</row>
    <row r="70" ht="15" customHeight="1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</row>
    <row r="71" ht="15" customHeight="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</row>
    <row r="72" ht="15" customHeight="1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</row>
    <row r="73" ht="15" customHeight="1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</row>
    <row r="74" ht="15" customHeight="1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</row>
    <row r="75" ht="15" customHeight="1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</row>
    <row r="76" ht="15" customHeight="1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 ht="15" customHeight="1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</row>
    <row r="78" ht="15" customHeight="1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</row>
    <row r="79" ht="15" customHeight="1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</row>
    <row r="80" ht="15" customHeight="1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</row>
    <row r="81" ht="15" customHeight="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</row>
    <row r="82" ht="15" customHeight="1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</row>
    <row r="83" ht="15" customHeight="1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</row>
    <row r="84" ht="15" customHeight="1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</row>
    <row r="85" ht="15" customHeight="1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</row>
    <row r="86" ht="15" customHeight="1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</row>
    <row r="87" ht="15" customHeight="1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</row>
    <row r="88" ht="15" customHeight="1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</row>
    <row r="89" ht="15" customHeight="1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</row>
    <row r="90" ht="15" customHeight="1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</row>
    <row r="91" ht="15" customHeight="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</row>
    <row r="92" ht="15" customHeight="1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</row>
    <row r="93" ht="15" customHeight="1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</row>
    <row r="94" ht="15" customHeight="1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</row>
    <row r="95" ht="15" customHeight="1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</row>
    <row r="96" ht="15" customHeight="1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</row>
    <row r="97" ht="15" customHeight="1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</row>
    <row r="98" ht="15" customHeight="1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</row>
    <row r="99" ht="15" customHeight="1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</row>
    <row r="100" ht="15" customHeight="1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</row>
    <row r="101" ht="15" customHeight="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</row>
    <row r="102" ht="15" customHeight="1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</row>
    <row r="103" ht="15" customHeight="1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</row>
    <row r="104" ht="15" customHeight="1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</row>
    <row r="105" ht="15" customHeight="1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</row>
    <row r="106" ht="15" customHeight="1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</row>
    <row r="107" ht="15" customHeight="1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</row>
    <row r="108" ht="15" customHeight="1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</row>
    <row r="109" ht="15" customHeight="1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</row>
    <row r="110" ht="15" customHeight="1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</row>
    <row r="111" ht="15" customHeight="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</row>
    <row r="112" ht="15" customHeight="1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</row>
    <row r="113" ht="15" customHeight="1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</row>
    <row r="114" ht="15" customHeight="1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</row>
    <row r="115" ht="15" customHeight="1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</row>
    <row r="116" ht="15" customHeight="1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</row>
    <row r="117" ht="15" customHeight="1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</row>
    <row r="118" ht="15" customHeight="1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</row>
    <row r="119" ht="15" customHeight="1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</row>
    <row r="120" ht="15" customHeight="1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</row>
    <row r="121" ht="15" customHeight="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</row>
    <row r="122" ht="15" customHeight="1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</row>
    <row r="123" ht="15" customHeight="1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</row>
    <row r="124" ht="15" customHeight="1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</row>
    <row r="125" ht="15" customHeight="1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</row>
    <row r="126" ht="15" customHeight="1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</row>
    <row r="127" ht="15" customHeight="1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</row>
    <row r="128" ht="15" customHeight="1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</row>
    <row r="129" ht="15" customHeight="1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</row>
    <row r="130" ht="15" customHeight="1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</row>
    <row r="131" ht="15" customHeight="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</row>
    <row r="132" ht="15" customHeight="1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</row>
    <row r="133" ht="15" customHeight="1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</row>
    <row r="134" ht="15" customHeight="1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</row>
    <row r="135" ht="15" customHeight="1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</row>
    <row r="136" ht="15" customHeight="1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</row>
    <row r="137" ht="15" customHeight="1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</row>
    <row r="138" ht="15" customHeight="1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</row>
    <row r="139" ht="15" customHeight="1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</row>
    <row r="140" ht="15" customHeight="1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</row>
    <row r="141" ht="15" customHeight="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</row>
    <row r="142" ht="15" customHeight="1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</row>
    <row r="143" ht="15" customHeight="1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</row>
    <row r="144" ht="15" customHeight="1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</row>
    <row r="145" ht="15" customHeight="1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</row>
    <row r="146" ht="15" customHeight="1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</row>
    <row r="147" ht="15" customHeight="1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</row>
    <row r="148" ht="15" customHeight="1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</row>
    <row r="149" ht="15" customHeight="1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</row>
    <row r="150" ht="15" customHeight="1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</row>
    <row r="151" ht="15" customHeight="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</row>
    <row r="152" ht="15" customHeight="1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</row>
    <row r="153" ht="15" customHeight="1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</row>
    <row r="154" ht="15" customHeight="1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</row>
    <row r="155" ht="15" customHeight="1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</row>
    <row r="156" ht="15" customHeight="1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</row>
    <row r="157" ht="15" customHeight="1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</row>
    <row r="158" ht="15" customHeight="1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</row>
    <row r="159" ht="15" customHeight="1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</row>
    <row r="160" ht="15" customHeight="1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</row>
    <row r="161" ht="15" customHeight="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</row>
    <row r="162" ht="15" customHeight="1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</row>
    <row r="163" ht="15" customHeight="1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</row>
    <row r="164" ht="15" customHeight="1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</row>
    <row r="165" ht="15" customHeight="1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</row>
    <row r="166" ht="15" customHeight="1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</row>
    <row r="167" ht="15" customHeight="1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</row>
    <row r="168" ht="15" customHeight="1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</row>
    <row r="169" ht="15" customHeight="1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</row>
    <row r="170" ht="15" customHeight="1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</row>
    <row r="171" ht="15" customHeight="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</row>
    <row r="172" ht="15" customHeight="1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</row>
    <row r="173" ht="15" customHeight="1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</row>
    <row r="174" ht="15" customHeight="1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</row>
    <row r="175" ht="15" customHeight="1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</row>
    <row r="176" ht="15" customHeight="1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</row>
    <row r="177" ht="15" customHeight="1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</row>
    <row r="178" ht="15" customHeight="1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</row>
    <row r="179" ht="15" customHeight="1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</row>
    <row r="180" ht="15" customHeight="1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</row>
    <row r="181" ht="15" customHeight="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</row>
    <row r="182" ht="15" customHeight="1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</row>
    <row r="183" ht="15" customHeight="1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</row>
    <row r="184" ht="15" customHeight="1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</row>
    <row r="185" ht="15" customHeight="1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</row>
    <row r="186" ht="15" customHeight="1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</row>
    <row r="187" ht="15" customHeight="1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</row>
    <row r="188" ht="15" customHeight="1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</row>
    <row r="189" ht="15" customHeight="1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</row>
    <row r="190" ht="15" customHeight="1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</row>
    <row r="191" ht="15" customHeight="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</row>
    <row r="192" ht="15" customHeight="1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</row>
    <row r="193" ht="15" customHeight="1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</row>
    <row r="194" ht="15" customHeight="1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</row>
    <row r="195" ht="15" customHeight="1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</row>
    <row r="196" ht="15" customHeight="1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</row>
    <row r="197" ht="15" customHeight="1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</row>
    <row r="198" ht="15" customHeight="1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</row>
    <row r="199" ht="15" customHeight="1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</row>
    <row r="200" ht="15" customHeight="1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</row>
  </sheetData>
  <mergeCells count="2">
    <mergeCell ref="A1:J1"/>
    <mergeCell ref="A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0"/>
  <sheetViews>
    <sheetView topLeftCell="A7" workbookViewId="0">
      <selection activeCell="A1" sqref="A1:J1"/>
    </sheetView>
  </sheetViews>
  <sheetFormatPr baseColWidth="8" defaultRowHeight="14.25"/>
  <cols>
    <col width="10" customWidth="1" min="1" max="1"/>
    <col width="14" customWidth="1" min="2" max="2"/>
    <col width="20" customWidth="1" min="3" max="3"/>
    <col width="18" customWidth="1" min="4" max="4"/>
    <col width="20" customWidth="1" min="5" max="5"/>
    <col width="12" customWidth="1" min="6" max="7"/>
    <col width="14" customWidth="1" min="8" max="8"/>
    <col width="16" customWidth="1" min="9" max="9"/>
    <col width="20" customWidth="1" min="10" max="10"/>
    <col width="12" customWidth="1" min="11" max="12"/>
    <col width="14" customWidth="1" min="13" max="14"/>
    <col width="12" customWidth="1" min="15" max="15"/>
    <col width="35" customWidth="1" min="16" max="16"/>
  </cols>
  <sheetData>
    <row r="1" ht="115.15" customHeight="1">
      <c r="A1" s="9" t="inlineStr">
        <is>
          <t>Experiment E2 — Tree-ID Association Log</t>
        </is>
      </c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 ht="120" customHeight="1">
      <c r="A2" s="11" t="inlineStr">
        <is>
          <t>One row per palm observation. Fill ground truth and assigned IDs for both baseline and proposed method.</t>
        </is>
      </c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 ht="15" customHeight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</row>
    <row r="4" ht="26.45" customHeight="1">
      <c r="A4" s="1" t="inlineStr">
        <is>
          <t>Obs_ID</t>
        </is>
      </c>
      <c r="B4" s="1" t="inlineStr">
        <is>
          <t>Mission_ID</t>
        </is>
      </c>
      <c r="C4" s="1" t="inlineStr">
        <is>
          <t>Frame/Image</t>
        </is>
      </c>
      <c r="D4" s="1" t="inlineStr">
        <is>
          <t>Timestamp</t>
        </is>
      </c>
      <c r="E4" s="1" t="inlineStr">
        <is>
          <t>GroundTruth_Tree_ID</t>
        </is>
      </c>
      <c r="F4" s="1" t="inlineStr">
        <is>
          <t>Estimated_X</t>
        </is>
      </c>
      <c r="G4" s="1" t="inlineStr">
        <is>
          <t>Estimated_Y</t>
        </is>
      </c>
      <c r="H4" s="1" t="inlineStr">
        <is>
          <t>Baseline_ID</t>
        </is>
      </c>
      <c r="I4" s="1" t="inlineStr">
        <is>
          <t>Proposed_Tree_ID</t>
        </is>
      </c>
      <c r="J4" s="1" t="inlineStr">
        <is>
          <t>Distance_to_Matched_Tree_m</t>
        </is>
      </c>
      <c r="K4" s="1" t="inlineStr">
        <is>
          <t>Correct_ID?</t>
        </is>
      </c>
      <c r="L4" s="1" t="inlineStr">
        <is>
          <t>Duplicate?</t>
        </is>
      </c>
      <c r="M4" s="1" t="inlineStr">
        <is>
          <t>False_Merge?</t>
        </is>
      </c>
      <c r="N4" s="1" t="inlineStr">
        <is>
          <t>False_Split?</t>
        </is>
      </c>
      <c r="O4" s="1" t="inlineStr">
        <is>
          <t>Confidence</t>
        </is>
      </c>
      <c r="P4" s="1" t="inlineStr">
        <is>
          <t>Notes</t>
        </is>
      </c>
      <c r="Q4" s="10" t="n"/>
      <c r="R4" s="1" t="inlineStr">
        <is>
          <t>Metric</t>
        </is>
      </c>
      <c r="S4" s="1" t="inlineStr">
        <is>
          <t>Formula</t>
        </is>
      </c>
      <c r="T4" s="1" t="inlineStr">
        <is>
          <t>Value</t>
        </is>
      </c>
      <c r="U4" s="1" t="inlineStr">
        <is>
          <t>How to interpret</t>
        </is>
      </c>
      <c r="V4" s="10" t="n"/>
      <c r="W4" s="10" t="n"/>
      <c r="X4" s="10" t="n"/>
      <c r="Y4" s="10" t="n"/>
      <c r="Z4" s="10" t="n"/>
    </row>
    <row r="5" ht="66" customHeight="1">
      <c r="A5" s="10" t="inlineStr">
        <is>
          <t>O001</t>
        </is>
      </c>
      <c r="B5" s="10" t="inlineStr">
        <is>
          <t>8</t>
        </is>
      </c>
      <c r="C5" s="10" t="inlineStr">
        <is>
          <t>frame_0001.jpg</t>
        </is>
      </c>
      <c r="D5" s="10" t="inlineStr">
        <is>
          <t>2026-05-20T21:13:46.169117</t>
        </is>
      </c>
      <c r="E5" s="10" t="inlineStr">
        <is>
          <t>GT_T001</t>
        </is>
      </c>
      <c r="F5" s="10" t="n">
        <v>-0.6</v>
      </c>
      <c r="G5" s="10" t="n">
        <v>-0.4</v>
      </c>
      <c r="H5" s="10" t="inlineStr">
        <is>
          <t>B001</t>
        </is>
      </c>
      <c r="I5" s="10" t="inlineStr">
        <is>
          <t>PALM-0001</t>
        </is>
      </c>
      <c r="J5" s="7" t="n">
        <v>0.733</v>
      </c>
      <c r="K5" s="10" t="inlineStr">
        <is>
          <t>Yes</t>
        </is>
      </c>
      <c r="L5" s="10" t="inlineStr">
        <is>
          <t>No</t>
        </is>
      </c>
      <c r="M5" s="10" t="inlineStr">
        <is>
          <t>No</t>
        </is>
      </c>
      <c r="N5" s="10" t="inlineStr">
        <is>
          <t>No</t>
        </is>
      </c>
      <c r="O5" s="5" t="n">
        <v>0.84</v>
      </c>
      <c r="P5" s="10" t="n"/>
      <c r="Q5" s="10" t="n"/>
      <c r="R5" s="10" t="inlineStr">
        <is>
          <t>Total observations</t>
        </is>
      </c>
      <c r="S5" s="10">
        <f>COUNTA(A5:A104)</f>
        <v/>
      </c>
      <c r="T5" s="10">
        <f>S5</f>
        <v/>
      </c>
      <c r="U5" s="10" t="inlineStr">
        <is>
          <t>Number of repeated detections tested.</t>
        </is>
      </c>
      <c r="V5" s="10" t="n"/>
      <c r="W5" s="10" t="n"/>
      <c r="X5" s="10" t="n"/>
      <c r="Y5" s="10" t="n"/>
      <c r="Z5" s="10" t="n"/>
    </row>
    <row r="6" ht="26.45" customHeight="1">
      <c r="A6" s="10" t="inlineStr">
        <is>
          <t>O002</t>
        </is>
      </c>
      <c r="B6" s="10" t="inlineStr">
        <is>
          <t>8</t>
        </is>
      </c>
      <c r="C6" s="10" t="inlineStr">
        <is>
          <t>frame_0002.jpg</t>
        </is>
      </c>
      <c r="D6" s="10" t="inlineStr">
        <is>
          <t>2026-05-20T21:13:46.186559</t>
        </is>
      </c>
      <c r="E6" s="10" t="inlineStr">
        <is>
          <t>GT_T001</t>
        </is>
      </c>
      <c r="F6" s="10" t="n">
        <v>-0.3</v>
      </c>
      <c r="G6" s="10" t="n">
        <v>-0.2</v>
      </c>
      <c r="H6" s="10" t="inlineStr">
        <is>
          <t>B002</t>
        </is>
      </c>
      <c r="I6" s="10" t="inlineStr">
        <is>
          <t>PALM-0001</t>
        </is>
      </c>
      <c r="J6" s="7" t="n">
        <v>0.366</v>
      </c>
      <c r="K6" s="10" t="inlineStr">
        <is>
          <t>Yes</t>
        </is>
      </c>
      <c r="L6" s="10" t="inlineStr">
        <is>
          <t>No</t>
        </is>
      </c>
      <c r="M6" s="10" t="inlineStr">
        <is>
          <t>No</t>
        </is>
      </c>
      <c r="N6" s="10" t="inlineStr">
        <is>
          <t>No</t>
        </is>
      </c>
      <c r="O6" s="5" t="n">
        <v>0.88</v>
      </c>
      <c r="P6" s="10" t="n"/>
      <c r="Q6" s="10" t="n"/>
      <c r="R6" s="10" t="inlineStr">
        <is>
          <t>Correct ID rate</t>
        </is>
      </c>
      <c r="S6" s="10">
        <f>IFERROR(COUNTIF(K5:K104,"Yes")/(COUNTIF(K5:K104,"Yes")+COUNTIF(K5:K104,"No")),"")</f>
        <v/>
      </c>
      <c r="T6" s="8">
        <f>S6</f>
        <v/>
      </c>
      <c r="U6" s="10" t="inlineStr">
        <is>
          <t>Higher is better.</t>
        </is>
      </c>
      <c r="V6" s="10" t="n"/>
      <c r="W6" s="10" t="n"/>
      <c r="X6" s="10" t="n"/>
      <c r="Y6" s="10" t="n"/>
      <c r="Z6" s="10" t="n"/>
    </row>
    <row r="7" ht="26.45" customHeight="1">
      <c r="A7" s="10" t="inlineStr">
        <is>
          <t>O003</t>
        </is>
      </c>
      <c r="B7" s="10" t="inlineStr">
        <is>
          <t>8</t>
        </is>
      </c>
      <c r="C7" s="10" t="inlineStr">
        <is>
          <t>frame_0003.jpg</t>
        </is>
      </c>
      <c r="D7" s="10" t="inlineStr">
        <is>
          <t>2026-05-20T21:13:46.202143</t>
        </is>
      </c>
      <c r="E7" s="10" t="inlineStr">
        <is>
          <t>GT_T001</t>
        </is>
      </c>
      <c r="F7" s="10" t="n">
        <v>0</v>
      </c>
      <c r="G7" s="10" t="n">
        <v>0</v>
      </c>
      <c r="H7" s="10" t="inlineStr">
        <is>
          <t>B003</t>
        </is>
      </c>
      <c r="I7" s="10" t="inlineStr">
        <is>
          <t>PALM-0001</t>
        </is>
      </c>
      <c r="J7" s="7" t="n">
        <v>0</v>
      </c>
      <c r="K7" s="10" t="inlineStr">
        <is>
          <t>Yes</t>
        </is>
      </c>
      <c r="L7" s="10" t="inlineStr">
        <is>
          <t>No</t>
        </is>
      </c>
      <c r="M7" s="10" t="inlineStr">
        <is>
          <t>No</t>
        </is>
      </c>
      <c r="N7" s="10" t="inlineStr">
        <is>
          <t>No</t>
        </is>
      </c>
      <c r="O7" s="5" t="n">
        <v>0.92</v>
      </c>
      <c r="P7" s="10" t="n"/>
      <c r="Q7" s="10" t="n"/>
      <c r="R7" s="10" t="inlineStr">
        <is>
          <t>Duplicate rate</t>
        </is>
      </c>
      <c r="S7" s="10">
        <f>IFERROR(COUNTIF(L5:L104,"Yes")/(COUNTIF(L5:L104,"Yes")+COUNTIF(L5:L104,"No")),"")</f>
        <v/>
      </c>
      <c r="T7" s="8">
        <f>S7</f>
        <v/>
      </c>
      <c r="U7" s="10" t="inlineStr">
        <is>
          <t>Lower is better.</t>
        </is>
      </c>
      <c r="V7" s="10" t="n"/>
      <c r="W7" s="10" t="n"/>
      <c r="X7" s="10" t="n"/>
      <c r="Y7" s="10" t="n"/>
      <c r="Z7" s="10" t="n"/>
    </row>
    <row r="8" ht="39.6" customHeight="1">
      <c r="A8" s="10" t="inlineStr">
        <is>
          <t>O004</t>
        </is>
      </c>
      <c r="B8" s="10" t="inlineStr">
        <is>
          <t>8</t>
        </is>
      </c>
      <c r="C8" s="10" t="inlineStr">
        <is>
          <t>frame_0004.jpg</t>
        </is>
      </c>
      <c r="D8" s="10" t="inlineStr">
        <is>
          <t>2026-05-20T21:13:46.217766</t>
        </is>
      </c>
      <c r="E8" s="10" t="inlineStr">
        <is>
          <t>GT_T001</t>
        </is>
      </c>
      <c r="F8" s="10" t="n">
        <v>0.3</v>
      </c>
      <c r="G8" s="10" t="n">
        <v>0.2</v>
      </c>
      <c r="H8" s="10" t="inlineStr">
        <is>
          <t>B004</t>
        </is>
      </c>
      <c r="I8" s="10" t="inlineStr">
        <is>
          <t>PALM-0001</t>
        </is>
      </c>
      <c r="J8" s="7" t="n">
        <v>0.366</v>
      </c>
      <c r="K8" s="10" t="inlineStr">
        <is>
          <t>Yes</t>
        </is>
      </c>
      <c r="L8" s="10" t="inlineStr">
        <is>
          <t>No</t>
        </is>
      </c>
      <c r="M8" s="10" t="inlineStr">
        <is>
          <t>No</t>
        </is>
      </c>
      <c r="N8" s="10" t="inlineStr">
        <is>
          <t>No</t>
        </is>
      </c>
      <c r="O8" s="5" t="n">
        <v>0.96</v>
      </c>
      <c r="P8" s="10" t="n"/>
      <c r="Q8" s="10" t="n"/>
      <c r="R8" s="10" t="inlineStr">
        <is>
          <t>False merge rate</t>
        </is>
      </c>
      <c r="S8" s="10">
        <f>IFERROR(COUNTIF(M5:M104,"Yes")/(COUNTIF(M5:M104,"Yes")+COUNTIF(M5:M104,"No")),"")</f>
        <v/>
      </c>
      <c r="T8" s="8">
        <f>S8</f>
        <v/>
      </c>
      <c r="U8" s="10" t="inlineStr">
        <is>
          <t>Lower is better.</t>
        </is>
      </c>
      <c r="V8" s="10" t="n"/>
      <c r="W8" s="10" t="n"/>
      <c r="X8" s="10" t="n"/>
      <c r="Y8" s="10" t="n"/>
      <c r="Z8" s="10" t="n"/>
    </row>
    <row r="9" ht="26.45" customHeight="1">
      <c r="A9" s="10" t="inlineStr">
        <is>
          <t>O005</t>
        </is>
      </c>
      <c r="B9" s="10" t="inlineStr">
        <is>
          <t>8</t>
        </is>
      </c>
      <c r="C9" s="10" t="inlineStr">
        <is>
          <t>frame_0005.jpg</t>
        </is>
      </c>
      <c r="D9" s="10" t="inlineStr">
        <is>
          <t>2026-05-20T21:13:46.233633</t>
        </is>
      </c>
      <c r="E9" s="10" t="inlineStr">
        <is>
          <t>GT_T001</t>
        </is>
      </c>
      <c r="F9" s="10" t="n">
        <v>0.6</v>
      </c>
      <c r="G9" s="10" t="n">
        <v>0.4</v>
      </c>
      <c r="H9" s="10" t="inlineStr">
        <is>
          <t>B005</t>
        </is>
      </c>
      <c r="I9" s="10" t="inlineStr">
        <is>
          <t>PALM-0001</t>
        </is>
      </c>
      <c r="J9" s="7" t="n">
        <v>0.733</v>
      </c>
      <c r="K9" s="10" t="inlineStr">
        <is>
          <t>Yes</t>
        </is>
      </c>
      <c r="L9" s="10" t="inlineStr">
        <is>
          <t>No</t>
        </is>
      </c>
      <c r="M9" s="10" t="inlineStr">
        <is>
          <t>No</t>
        </is>
      </c>
      <c r="N9" s="10" t="inlineStr">
        <is>
          <t>No</t>
        </is>
      </c>
      <c r="O9" s="5" t="n">
        <v>0.8</v>
      </c>
      <c r="P9" s="10" t="n"/>
      <c r="Q9" s="10" t="n"/>
      <c r="R9" s="10" t="inlineStr">
        <is>
          <t>False split rate</t>
        </is>
      </c>
      <c r="S9" s="10">
        <f>IFERROR(COUNTIF(N5:N104,"Yes")/(COUNTIF(N5:N104,"Yes")+COUNTIF(N5:N104,"No")),"")</f>
        <v/>
      </c>
      <c r="T9" s="8">
        <f>S9</f>
        <v/>
      </c>
      <c r="U9" s="10" t="inlineStr">
        <is>
          <t>Lower is better.</t>
        </is>
      </c>
      <c r="V9" s="10" t="n"/>
      <c r="W9" s="10" t="n"/>
      <c r="X9" s="10" t="n"/>
      <c r="Y9" s="10" t="n"/>
      <c r="Z9" s="10" t="n"/>
    </row>
    <row r="10" ht="52.7" customHeight="1">
      <c r="A10" s="10" t="inlineStr">
        <is>
          <t>O006</t>
        </is>
      </c>
      <c r="B10" s="10" t="inlineStr">
        <is>
          <t>8</t>
        </is>
      </c>
      <c r="C10" s="10" t="inlineStr">
        <is>
          <t>frame_0006.jpg</t>
        </is>
      </c>
      <c r="D10" s="10" t="inlineStr">
        <is>
          <t>2026-05-20T21:13:46.248332</t>
        </is>
      </c>
      <c r="E10" s="10" t="inlineStr">
        <is>
          <t>GT_T002</t>
        </is>
      </c>
      <c r="F10" s="10" t="n">
        <v>7.9</v>
      </c>
      <c r="G10" s="10" t="n">
        <v>-0.4</v>
      </c>
      <c r="H10" s="10" t="inlineStr">
        <is>
          <t>B006</t>
        </is>
      </c>
      <c r="I10" s="10" t="inlineStr">
        <is>
          <t>PALM-0004</t>
        </is>
      </c>
      <c r="J10" s="7" t="n">
        <v>0</v>
      </c>
      <c r="K10" s="10" t="inlineStr">
        <is>
          <t>Yes</t>
        </is>
      </c>
      <c r="L10" s="10" t="inlineStr">
        <is>
          <t>No</t>
        </is>
      </c>
      <c r="M10" s="10" t="inlineStr">
        <is>
          <t>No</t>
        </is>
      </c>
      <c r="N10" s="10" t="inlineStr">
        <is>
          <t>No</t>
        </is>
      </c>
      <c r="O10" s="5" t="n">
        <v>0.84</v>
      </c>
      <c r="P10" s="10" t="n"/>
      <c r="Q10" s="10" t="n"/>
      <c r="R10" s="10" t="inlineStr">
        <is>
          <t>Unique GT trees</t>
        </is>
      </c>
      <c r="S10" s="10" t="n">
        <v>1</v>
      </c>
      <c r="T10" s="10">
        <f>S10</f>
        <v/>
      </c>
      <c r="U10" s="10" t="inlineStr">
        <is>
          <t>Use for dataset description.</t>
        </is>
      </c>
      <c r="V10" s="10" t="n"/>
      <c r="W10" s="10" t="n"/>
      <c r="X10" s="10" t="n"/>
      <c r="Y10" s="10" t="n"/>
      <c r="Z10" s="10" t="n"/>
    </row>
    <row r="11" ht="52.7" customHeight="1">
      <c r="A11" s="10" t="inlineStr">
        <is>
          <t>O007</t>
        </is>
      </c>
      <c r="B11" s="10" t="inlineStr">
        <is>
          <t>8</t>
        </is>
      </c>
      <c r="C11" s="10" t="inlineStr">
        <is>
          <t>frame_0007.jpg</t>
        </is>
      </c>
      <c r="D11" s="10" t="inlineStr">
        <is>
          <t>2026-05-20T21:13:46.266607</t>
        </is>
      </c>
      <c r="E11" s="10" t="inlineStr">
        <is>
          <t>GT_T002</t>
        </is>
      </c>
      <c r="F11" s="10" t="n">
        <v>8.199999999999999</v>
      </c>
      <c r="G11" s="10" t="n">
        <v>-0.2</v>
      </c>
      <c r="H11" s="10" t="inlineStr">
        <is>
          <t>B007</t>
        </is>
      </c>
      <c r="I11" s="10" t="inlineStr">
        <is>
          <t>PALM-0004</t>
        </is>
      </c>
      <c r="J11" s="7" t="n">
        <v>0.366</v>
      </c>
      <c r="K11" s="10" t="inlineStr">
        <is>
          <t>Yes</t>
        </is>
      </c>
      <c r="L11" s="10" t="inlineStr">
        <is>
          <t>No</t>
        </is>
      </c>
      <c r="M11" s="10" t="inlineStr">
        <is>
          <t>No</t>
        </is>
      </c>
      <c r="N11" s="10" t="inlineStr">
        <is>
          <t>No</t>
        </is>
      </c>
      <c r="O11" s="5" t="n">
        <v>0.88</v>
      </c>
      <c r="P11" s="10" t="n"/>
      <c r="Q11" s="10" t="n"/>
      <c r="R11" s="10" t="inlineStr">
        <is>
          <t>Unique proposed IDs</t>
        </is>
      </c>
      <c r="S11" s="10" t="n">
        <v>1</v>
      </c>
      <c r="T11" s="10">
        <f>S11</f>
        <v/>
      </c>
      <c r="U11" s="10" t="inlineStr">
        <is>
          <t>Should be close to unique GT trees.</t>
        </is>
      </c>
      <c r="V11" s="10" t="n"/>
      <c r="W11" s="10" t="n"/>
      <c r="X11" s="10" t="n"/>
      <c r="Y11" s="10" t="n"/>
      <c r="Z11" s="10" t="n"/>
    </row>
    <row r="12" ht="15" customHeight="1">
      <c r="A12" s="10" t="inlineStr">
        <is>
          <t>O008</t>
        </is>
      </c>
      <c r="B12" s="10" t="inlineStr">
        <is>
          <t>8</t>
        </is>
      </c>
      <c r="C12" s="10" t="inlineStr">
        <is>
          <t>frame_0008.jpg</t>
        </is>
      </c>
      <c r="D12" s="10" t="inlineStr">
        <is>
          <t>2026-05-20T21:13:46.282513</t>
        </is>
      </c>
      <c r="E12" s="10" t="inlineStr">
        <is>
          <t>GT_T002</t>
        </is>
      </c>
      <c r="F12" s="10" t="n">
        <v>8.5</v>
      </c>
      <c r="G12" s="10" t="n">
        <v>0</v>
      </c>
      <c r="H12" s="10" t="inlineStr">
        <is>
          <t>B008</t>
        </is>
      </c>
      <c r="I12" s="10" t="inlineStr">
        <is>
          <t>PALM-0004</t>
        </is>
      </c>
      <c r="J12" s="7" t="n">
        <v>0.733</v>
      </c>
      <c r="K12" s="10" t="inlineStr">
        <is>
          <t>Yes</t>
        </is>
      </c>
      <c r="L12" s="10" t="inlineStr">
        <is>
          <t>No</t>
        </is>
      </c>
      <c r="M12" s="10" t="inlineStr">
        <is>
          <t>No</t>
        </is>
      </c>
      <c r="N12" s="10" t="inlineStr">
        <is>
          <t>No</t>
        </is>
      </c>
      <c r="O12" s="5" t="n">
        <v>0.92</v>
      </c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15" customHeight="1">
      <c r="A13" s="10" t="inlineStr">
        <is>
          <t>O009</t>
        </is>
      </c>
      <c r="B13" s="10" t="inlineStr">
        <is>
          <t>8</t>
        </is>
      </c>
      <c r="C13" s="10" t="inlineStr">
        <is>
          <t>frame_0009.jpg</t>
        </is>
      </c>
      <c r="D13" s="10" t="inlineStr">
        <is>
          <t>2026-05-20T21:13:46.299370</t>
        </is>
      </c>
      <c r="E13" s="10" t="inlineStr">
        <is>
          <t>GT_T002</t>
        </is>
      </c>
      <c r="F13" s="10" t="n">
        <v>8.800000000000001</v>
      </c>
      <c r="G13" s="10" t="n">
        <v>0.2</v>
      </c>
      <c r="H13" s="10" t="inlineStr">
        <is>
          <t>B009</t>
        </is>
      </c>
      <c r="I13" s="10" t="inlineStr">
        <is>
          <t>PALM-0004</t>
        </is>
      </c>
      <c r="J13" s="7" t="n">
        <v>1.099</v>
      </c>
      <c r="K13" s="10" t="inlineStr">
        <is>
          <t>Yes</t>
        </is>
      </c>
      <c r="L13" s="10" t="inlineStr">
        <is>
          <t>No</t>
        </is>
      </c>
      <c r="M13" s="10" t="inlineStr">
        <is>
          <t>No</t>
        </is>
      </c>
      <c r="N13" s="10" t="inlineStr">
        <is>
          <t>No</t>
        </is>
      </c>
      <c r="O13" s="5" t="n">
        <v>0.96</v>
      </c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 ht="15" customHeight="1">
      <c r="A14" s="10" t="inlineStr">
        <is>
          <t>O010</t>
        </is>
      </c>
      <c r="B14" s="10" t="inlineStr">
        <is>
          <t>8</t>
        </is>
      </c>
      <c r="C14" s="10" t="inlineStr">
        <is>
          <t>frame_0010.jpg</t>
        </is>
      </c>
      <c r="D14" s="10" t="inlineStr">
        <is>
          <t>2026-05-20T21:13:46.317608</t>
        </is>
      </c>
      <c r="E14" s="10" t="inlineStr">
        <is>
          <t>GT_T002</t>
        </is>
      </c>
      <c r="F14" s="10" t="n">
        <v>9.1</v>
      </c>
      <c r="G14" s="10" t="n">
        <v>0.4</v>
      </c>
      <c r="H14" s="10" t="inlineStr">
        <is>
          <t>B010</t>
        </is>
      </c>
      <c r="I14" s="10" t="inlineStr">
        <is>
          <t>PALM-0004</t>
        </is>
      </c>
      <c r="J14" s="7" t="n">
        <v>1.466</v>
      </c>
      <c r="K14" s="10" t="inlineStr">
        <is>
          <t>Yes</t>
        </is>
      </c>
      <c r="L14" s="10" t="inlineStr">
        <is>
          <t>No</t>
        </is>
      </c>
      <c r="M14" s="10" t="inlineStr">
        <is>
          <t>No</t>
        </is>
      </c>
      <c r="N14" s="10" t="inlineStr">
        <is>
          <t>No</t>
        </is>
      </c>
      <c r="O14" s="5" t="n">
        <v>0.8</v>
      </c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 ht="15" customHeight="1">
      <c r="A15" s="10" t="inlineStr">
        <is>
          <t>O011</t>
        </is>
      </c>
      <c r="B15" s="10" t="inlineStr">
        <is>
          <t>8</t>
        </is>
      </c>
      <c r="C15" s="10" t="inlineStr">
        <is>
          <t>frame_0011.jpg</t>
        </is>
      </c>
      <c r="D15" s="10" t="inlineStr">
        <is>
          <t>2026-05-20T21:13:46.335227</t>
        </is>
      </c>
      <c r="E15" s="10" t="inlineStr">
        <is>
          <t>GT_T003</t>
        </is>
      </c>
      <c r="F15" s="10" t="n">
        <v>16.4</v>
      </c>
      <c r="G15" s="10" t="n">
        <v>-0.4</v>
      </c>
      <c r="H15" s="10" t="inlineStr">
        <is>
          <t>B011</t>
        </is>
      </c>
      <c r="I15" s="10" t="inlineStr">
        <is>
          <t>PALM-0005</t>
        </is>
      </c>
      <c r="J15" s="7" t="n">
        <v>0</v>
      </c>
      <c r="K15" s="10" t="inlineStr">
        <is>
          <t>Yes</t>
        </is>
      </c>
      <c r="L15" s="10" t="inlineStr">
        <is>
          <t>No</t>
        </is>
      </c>
      <c r="M15" s="10" t="inlineStr">
        <is>
          <t>No</t>
        </is>
      </c>
      <c r="N15" s="10" t="inlineStr">
        <is>
          <t>No</t>
        </is>
      </c>
      <c r="O15" s="5" t="n">
        <v>0.84</v>
      </c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15" customHeight="1">
      <c r="A16" s="10" t="inlineStr">
        <is>
          <t>O012</t>
        </is>
      </c>
      <c r="B16" s="10" t="inlineStr">
        <is>
          <t>8</t>
        </is>
      </c>
      <c r="C16" s="10" t="inlineStr">
        <is>
          <t>frame_0012.jpg</t>
        </is>
      </c>
      <c r="D16" s="10" t="inlineStr">
        <is>
          <t>2026-05-20T21:13:46.350224</t>
        </is>
      </c>
      <c r="E16" s="10" t="inlineStr">
        <is>
          <t>GT_T003</t>
        </is>
      </c>
      <c r="F16" s="10" t="n">
        <v>16.7</v>
      </c>
      <c r="G16" s="10" t="n">
        <v>-0.2</v>
      </c>
      <c r="H16" s="10" t="inlineStr">
        <is>
          <t>B012</t>
        </is>
      </c>
      <c r="I16" s="10" t="inlineStr">
        <is>
          <t>PALM-0005</t>
        </is>
      </c>
      <c r="J16" s="7" t="n">
        <v>0.366</v>
      </c>
      <c r="K16" s="10" t="inlineStr">
        <is>
          <t>Yes</t>
        </is>
      </c>
      <c r="L16" s="10" t="inlineStr">
        <is>
          <t>No</t>
        </is>
      </c>
      <c r="M16" s="10" t="inlineStr">
        <is>
          <t>No</t>
        </is>
      </c>
      <c r="N16" s="10" t="inlineStr">
        <is>
          <t>No</t>
        </is>
      </c>
      <c r="O16" s="5" t="n">
        <v>0.88</v>
      </c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 ht="15" customHeight="1">
      <c r="A17" s="10" t="inlineStr">
        <is>
          <t>O013</t>
        </is>
      </c>
      <c r="B17" s="10" t="inlineStr">
        <is>
          <t>8</t>
        </is>
      </c>
      <c r="C17" s="10" t="inlineStr">
        <is>
          <t>frame_0013.jpg</t>
        </is>
      </c>
      <c r="D17" s="10" t="inlineStr">
        <is>
          <t>2026-05-20T21:13:46.372621</t>
        </is>
      </c>
      <c r="E17" s="10" t="inlineStr">
        <is>
          <t>GT_T003</t>
        </is>
      </c>
      <c r="F17" s="10" t="n">
        <v>17</v>
      </c>
      <c r="G17" s="10" t="n">
        <v>0</v>
      </c>
      <c r="H17" s="10" t="inlineStr">
        <is>
          <t>B013</t>
        </is>
      </c>
      <c r="I17" s="10" t="inlineStr">
        <is>
          <t>PALM-0005</t>
        </is>
      </c>
      <c r="J17" s="7" t="n">
        <v>0.733</v>
      </c>
      <c r="K17" s="10" t="inlineStr">
        <is>
          <t>Yes</t>
        </is>
      </c>
      <c r="L17" s="10" t="inlineStr">
        <is>
          <t>No</t>
        </is>
      </c>
      <c r="M17" s="10" t="inlineStr">
        <is>
          <t>No</t>
        </is>
      </c>
      <c r="N17" s="10" t="inlineStr">
        <is>
          <t>No</t>
        </is>
      </c>
      <c r="O17" s="5" t="n">
        <v>0.92</v>
      </c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5" customHeight="1">
      <c r="A18" s="10" t="inlineStr">
        <is>
          <t>O014</t>
        </is>
      </c>
      <c r="B18" s="10" t="inlineStr">
        <is>
          <t>8</t>
        </is>
      </c>
      <c r="C18" s="10" t="inlineStr">
        <is>
          <t>frame_0014.jpg</t>
        </is>
      </c>
      <c r="D18" s="10" t="inlineStr">
        <is>
          <t>2026-05-20T21:13:46.398902</t>
        </is>
      </c>
      <c r="E18" s="10" t="inlineStr">
        <is>
          <t>GT_T003</t>
        </is>
      </c>
      <c r="F18" s="10" t="n">
        <v>17.3</v>
      </c>
      <c r="G18" s="10" t="n">
        <v>0.2</v>
      </c>
      <c r="H18" s="10" t="inlineStr">
        <is>
          <t>B014</t>
        </is>
      </c>
      <c r="I18" s="10" t="inlineStr">
        <is>
          <t>PALM-0005</t>
        </is>
      </c>
      <c r="J18" s="7" t="n">
        <v>1.099</v>
      </c>
      <c r="K18" s="10" t="inlineStr">
        <is>
          <t>Yes</t>
        </is>
      </c>
      <c r="L18" s="10" t="inlineStr">
        <is>
          <t>No</t>
        </is>
      </c>
      <c r="M18" s="10" t="inlineStr">
        <is>
          <t>No</t>
        </is>
      </c>
      <c r="N18" s="10" t="inlineStr">
        <is>
          <t>No</t>
        </is>
      </c>
      <c r="O18" s="5" t="n">
        <v>0.96</v>
      </c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5" customHeight="1">
      <c r="A19" s="10" t="inlineStr">
        <is>
          <t>O015</t>
        </is>
      </c>
      <c r="B19" s="10" t="inlineStr">
        <is>
          <t>8</t>
        </is>
      </c>
      <c r="C19" s="10" t="inlineStr">
        <is>
          <t>frame_0015.jpg</t>
        </is>
      </c>
      <c r="D19" s="10" t="inlineStr">
        <is>
          <t>2026-05-20T21:13:46.422562</t>
        </is>
      </c>
      <c r="E19" s="10" t="inlineStr">
        <is>
          <t>GT_T003</t>
        </is>
      </c>
      <c r="F19" s="10" t="n">
        <v>17.6</v>
      </c>
      <c r="G19" s="10" t="n">
        <v>0.4</v>
      </c>
      <c r="H19" s="10" t="inlineStr">
        <is>
          <t>B015</t>
        </is>
      </c>
      <c r="I19" s="10" t="inlineStr">
        <is>
          <t>PALM-0005</t>
        </is>
      </c>
      <c r="J19" s="7" t="n">
        <v>1.466</v>
      </c>
      <c r="K19" s="10" t="inlineStr">
        <is>
          <t>Yes</t>
        </is>
      </c>
      <c r="L19" s="10" t="inlineStr">
        <is>
          <t>No</t>
        </is>
      </c>
      <c r="M19" s="10" t="inlineStr">
        <is>
          <t>No</t>
        </is>
      </c>
      <c r="N19" s="10" t="inlineStr">
        <is>
          <t>No</t>
        </is>
      </c>
      <c r="O19" s="5" t="n">
        <v>0.8</v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 ht="15" customHeight="1">
      <c r="A20" s="10" t="inlineStr">
        <is>
          <t>O016</t>
        </is>
      </c>
      <c r="B20" s="10" t="inlineStr">
        <is>
          <t>8</t>
        </is>
      </c>
      <c r="C20" s="10" t="inlineStr">
        <is>
          <t>frame_0016.jpg</t>
        </is>
      </c>
      <c r="D20" s="10" t="inlineStr">
        <is>
          <t>2026-05-20T21:13:46.442649</t>
        </is>
      </c>
      <c r="E20" s="10" t="inlineStr">
        <is>
          <t>GT_T004</t>
        </is>
      </c>
      <c r="F20" s="10" t="n">
        <v>24.9</v>
      </c>
      <c r="G20" s="10" t="n">
        <v>-0.4</v>
      </c>
      <c r="H20" s="10" t="inlineStr">
        <is>
          <t>B016</t>
        </is>
      </c>
      <c r="I20" s="10" t="inlineStr">
        <is>
          <t>PALM-0006</t>
        </is>
      </c>
      <c r="J20" s="7" t="n">
        <v>0</v>
      </c>
      <c r="K20" s="10" t="inlineStr">
        <is>
          <t>Yes</t>
        </is>
      </c>
      <c r="L20" s="10" t="inlineStr">
        <is>
          <t>No</t>
        </is>
      </c>
      <c r="M20" s="10" t="inlineStr">
        <is>
          <t>No</t>
        </is>
      </c>
      <c r="N20" s="10" t="inlineStr">
        <is>
          <t>No</t>
        </is>
      </c>
      <c r="O20" s="5" t="n">
        <v>0.84</v>
      </c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5" customHeight="1">
      <c r="A21" s="10" t="inlineStr">
        <is>
          <t>O017</t>
        </is>
      </c>
      <c r="B21" s="10" t="inlineStr">
        <is>
          <t>8</t>
        </is>
      </c>
      <c r="C21" s="10" t="inlineStr">
        <is>
          <t>frame_0017.jpg</t>
        </is>
      </c>
      <c r="D21" s="10" t="inlineStr">
        <is>
          <t>2026-05-20T21:13:46.459839</t>
        </is>
      </c>
      <c r="E21" s="10" t="inlineStr">
        <is>
          <t>GT_T004</t>
        </is>
      </c>
      <c r="F21" s="10" t="n">
        <v>25.2</v>
      </c>
      <c r="G21" s="10" t="n">
        <v>-0.2</v>
      </c>
      <c r="H21" s="10" t="inlineStr">
        <is>
          <t>B017</t>
        </is>
      </c>
      <c r="I21" s="10" t="inlineStr">
        <is>
          <t>PALM-0006</t>
        </is>
      </c>
      <c r="J21" s="7" t="n">
        <v>0.366</v>
      </c>
      <c r="K21" s="10" t="inlineStr">
        <is>
          <t>Yes</t>
        </is>
      </c>
      <c r="L21" s="10" t="inlineStr">
        <is>
          <t>No</t>
        </is>
      </c>
      <c r="M21" s="10" t="inlineStr">
        <is>
          <t>No</t>
        </is>
      </c>
      <c r="N21" s="10" t="inlineStr">
        <is>
          <t>No</t>
        </is>
      </c>
      <c r="O21" s="5" t="n">
        <v>0.88</v>
      </c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 ht="15" customHeight="1">
      <c r="A22" s="10" t="inlineStr">
        <is>
          <t>O018</t>
        </is>
      </c>
      <c r="B22" s="10" t="inlineStr">
        <is>
          <t>8</t>
        </is>
      </c>
      <c r="C22" s="10" t="inlineStr">
        <is>
          <t>frame_0018.jpg</t>
        </is>
      </c>
      <c r="D22" s="10" t="inlineStr">
        <is>
          <t>2026-05-20T21:13:46.474105</t>
        </is>
      </c>
      <c r="E22" s="10" t="inlineStr">
        <is>
          <t>GT_T004</t>
        </is>
      </c>
      <c r="F22" s="10" t="n">
        <v>25.5</v>
      </c>
      <c r="G22" s="10" t="n">
        <v>0</v>
      </c>
      <c r="H22" s="10" t="inlineStr">
        <is>
          <t>B018</t>
        </is>
      </c>
      <c r="I22" s="10" t="inlineStr">
        <is>
          <t>PALM-0006</t>
        </is>
      </c>
      <c r="J22" s="7" t="n">
        <v>0.733</v>
      </c>
      <c r="K22" s="10" t="inlineStr">
        <is>
          <t>Yes</t>
        </is>
      </c>
      <c r="L22" s="10" t="inlineStr">
        <is>
          <t>No</t>
        </is>
      </c>
      <c r="M22" s="10" t="inlineStr">
        <is>
          <t>No</t>
        </is>
      </c>
      <c r="N22" s="10" t="inlineStr">
        <is>
          <t>No</t>
        </is>
      </c>
      <c r="O22" s="5" t="n">
        <v>0.92</v>
      </c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 ht="15" customHeight="1">
      <c r="A23" s="10" t="inlineStr">
        <is>
          <t>O019</t>
        </is>
      </c>
      <c r="B23" s="10" t="inlineStr">
        <is>
          <t>8</t>
        </is>
      </c>
      <c r="C23" s="10" t="inlineStr">
        <is>
          <t>frame_0019.jpg</t>
        </is>
      </c>
      <c r="D23" s="10" t="inlineStr">
        <is>
          <t>2026-05-20T21:13:46.488048</t>
        </is>
      </c>
      <c r="E23" s="10" t="inlineStr">
        <is>
          <t>GT_T004</t>
        </is>
      </c>
      <c r="F23" s="10" t="n">
        <v>25.8</v>
      </c>
      <c r="G23" s="10" t="n">
        <v>0.2</v>
      </c>
      <c r="H23" s="10" t="inlineStr">
        <is>
          <t>B019</t>
        </is>
      </c>
      <c r="I23" s="10" t="inlineStr">
        <is>
          <t>PALM-0006</t>
        </is>
      </c>
      <c r="J23" s="7" t="n">
        <v>1.099</v>
      </c>
      <c r="K23" s="10" t="inlineStr">
        <is>
          <t>Yes</t>
        </is>
      </c>
      <c r="L23" s="10" t="inlineStr">
        <is>
          <t>No</t>
        </is>
      </c>
      <c r="M23" s="10" t="inlineStr">
        <is>
          <t>No</t>
        </is>
      </c>
      <c r="N23" s="10" t="inlineStr">
        <is>
          <t>No</t>
        </is>
      </c>
      <c r="O23" s="5" t="n">
        <v>0.96</v>
      </c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 ht="15" customHeight="1">
      <c r="A24" s="10" t="inlineStr">
        <is>
          <t>O020</t>
        </is>
      </c>
      <c r="B24" s="10" t="inlineStr">
        <is>
          <t>8</t>
        </is>
      </c>
      <c r="C24" s="10" t="inlineStr">
        <is>
          <t>frame_0020.jpg</t>
        </is>
      </c>
      <c r="D24" s="10" t="inlineStr">
        <is>
          <t>2026-05-20T21:13:46.503361</t>
        </is>
      </c>
      <c r="E24" s="10" t="inlineStr">
        <is>
          <t>GT_T004</t>
        </is>
      </c>
      <c r="F24" s="10" t="n">
        <v>26.1</v>
      </c>
      <c r="G24" s="10" t="n">
        <v>0.4</v>
      </c>
      <c r="H24" s="10" t="inlineStr">
        <is>
          <t>B020</t>
        </is>
      </c>
      <c r="I24" s="10" t="inlineStr">
        <is>
          <t>PALM-0006</t>
        </is>
      </c>
      <c r="J24" s="7" t="n">
        <v>1.466</v>
      </c>
      <c r="K24" s="10" t="inlineStr">
        <is>
          <t>Yes</t>
        </is>
      </c>
      <c r="L24" s="10" t="inlineStr">
        <is>
          <t>No</t>
        </is>
      </c>
      <c r="M24" s="10" t="inlineStr">
        <is>
          <t>No</t>
        </is>
      </c>
      <c r="N24" s="10" t="inlineStr">
        <is>
          <t>No</t>
        </is>
      </c>
      <c r="O24" s="5" t="n">
        <v>0.8</v>
      </c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 ht="15" customHeight="1">
      <c r="A25" s="10" t="inlineStr">
        <is>
          <t>O021</t>
        </is>
      </c>
      <c r="B25" s="10" t="inlineStr">
        <is>
          <t>8</t>
        </is>
      </c>
      <c r="C25" s="10" t="inlineStr">
        <is>
          <t>frame_0021.jpg</t>
        </is>
      </c>
      <c r="D25" s="10" t="inlineStr">
        <is>
          <t>2026-05-20T21:13:46.517352</t>
        </is>
      </c>
      <c r="E25" s="10" t="inlineStr">
        <is>
          <t>GT_T005</t>
        </is>
      </c>
      <c r="F25" s="10" t="n">
        <v>33.4</v>
      </c>
      <c r="G25" s="10" t="n">
        <v>-0.4</v>
      </c>
      <c r="H25" s="10" t="inlineStr">
        <is>
          <t>B021</t>
        </is>
      </c>
      <c r="I25" s="10" t="inlineStr">
        <is>
          <t>PALM-0007</t>
        </is>
      </c>
      <c r="J25" s="7" t="n">
        <v>0</v>
      </c>
      <c r="K25" s="10" t="inlineStr">
        <is>
          <t>Yes</t>
        </is>
      </c>
      <c r="L25" s="10" t="inlineStr">
        <is>
          <t>No</t>
        </is>
      </c>
      <c r="M25" s="10" t="inlineStr">
        <is>
          <t>No</t>
        </is>
      </c>
      <c r="N25" s="10" t="inlineStr">
        <is>
          <t>No</t>
        </is>
      </c>
      <c r="O25" s="5" t="n">
        <v>0.84</v>
      </c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 ht="15" customHeight="1">
      <c r="A26" s="10" t="inlineStr">
        <is>
          <t>O022</t>
        </is>
      </c>
      <c r="B26" s="10" t="inlineStr">
        <is>
          <t>8</t>
        </is>
      </c>
      <c r="C26" s="10" t="inlineStr">
        <is>
          <t>frame_0022.jpg</t>
        </is>
      </c>
      <c r="D26" s="10" t="inlineStr">
        <is>
          <t>2026-05-20T21:13:46.540380</t>
        </is>
      </c>
      <c r="E26" s="10" t="inlineStr">
        <is>
          <t>GT_T005</t>
        </is>
      </c>
      <c r="F26" s="10" t="n">
        <v>33.7</v>
      </c>
      <c r="G26" s="10" t="n">
        <v>-0.2</v>
      </c>
      <c r="H26" s="10" t="inlineStr">
        <is>
          <t>B022</t>
        </is>
      </c>
      <c r="I26" s="10" t="inlineStr">
        <is>
          <t>PALM-0007</t>
        </is>
      </c>
      <c r="J26" s="7" t="n">
        <v>0.366</v>
      </c>
      <c r="K26" s="10" t="inlineStr">
        <is>
          <t>Yes</t>
        </is>
      </c>
      <c r="L26" s="10" t="inlineStr">
        <is>
          <t>No</t>
        </is>
      </c>
      <c r="M26" s="10" t="inlineStr">
        <is>
          <t>No</t>
        </is>
      </c>
      <c r="N26" s="10" t="inlineStr">
        <is>
          <t>No</t>
        </is>
      </c>
      <c r="O26" s="5" t="n">
        <v>0.88</v>
      </c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 ht="15" customHeight="1">
      <c r="A27" s="10" t="inlineStr">
        <is>
          <t>O023</t>
        </is>
      </c>
      <c r="B27" s="10" t="inlineStr">
        <is>
          <t>8</t>
        </is>
      </c>
      <c r="C27" s="10" t="inlineStr">
        <is>
          <t>frame_0023.jpg</t>
        </is>
      </c>
      <c r="D27" s="10" t="inlineStr">
        <is>
          <t>2026-05-20T21:13:46.556753</t>
        </is>
      </c>
      <c r="E27" s="10" t="inlineStr">
        <is>
          <t>GT_T005</t>
        </is>
      </c>
      <c r="F27" s="10" t="n">
        <v>34</v>
      </c>
      <c r="G27" s="10" t="n">
        <v>0</v>
      </c>
      <c r="H27" s="10" t="inlineStr">
        <is>
          <t>B023</t>
        </is>
      </c>
      <c r="I27" s="10" t="inlineStr">
        <is>
          <t>PALM-0007</t>
        </is>
      </c>
      <c r="J27" s="7" t="n">
        <v>0.733</v>
      </c>
      <c r="K27" s="10" t="inlineStr">
        <is>
          <t>Yes</t>
        </is>
      </c>
      <c r="L27" s="10" t="inlineStr">
        <is>
          <t>No</t>
        </is>
      </c>
      <c r="M27" s="10" t="inlineStr">
        <is>
          <t>No</t>
        </is>
      </c>
      <c r="N27" s="10" t="inlineStr">
        <is>
          <t>No</t>
        </is>
      </c>
      <c r="O27" s="5" t="n">
        <v>0.92</v>
      </c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 ht="15" customHeight="1">
      <c r="A28" s="10" t="inlineStr">
        <is>
          <t>O024</t>
        </is>
      </c>
      <c r="B28" s="10" t="inlineStr">
        <is>
          <t>8</t>
        </is>
      </c>
      <c r="C28" s="10" t="inlineStr">
        <is>
          <t>frame_0024.jpg</t>
        </is>
      </c>
      <c r="D28" s="10" t="inlineStr">
        <is>
          <t>2026-05-20T21:13:46.581026</t>
        </is>
      </c>
      <c r="E28" s="10" t="inlineStr">
        <is>
          <t>GT_T005</t>
        </is>
      </c>
      <c r="F28" s="10" t="n">
        <v>34.3</v>
      </c>
      <c r="G28" s="10" t="n">
        <v>0.2</v>
      </c>
      <c r="H28" s="10" t="inlineStr">
        <is>
          <t>B024</t>
        </is>
      </c>
      <c r="I28" s="10" t="inlineStr">
        <is>
          <t>PALM-0007</t>
        </is>
      </c>
      <c r="J28" s="7" t="n">
        <v>1.099</v>
      </c>
      <c r="K28" s="10" t="inlineStr">
        <is>
          <t>Yes</t>
        </is>
      </c>
      <c r="L28" s="10" t="inlineStr">
        <is>
          <t>No</t>
        </is>
      </c>
      <c r="M28" s="10" t="inlineStr">
        <is>
          <t>No</t>
        </is>
      </c>
      <c r="N28" s="10" t="inlineStr">
        <is>
          <t>No</t>
        </is>
      </c>
      <c r="O28" s="5" t="n">
        <v>0.96</v>
      </c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 ht="15" customHeight="1">
      <c r="A29" s="10" t="inlineStr">
        <is>
          <t>O025</t>
        </is>
      </c>
      <c r="B29" s="10" t="inlineStr">
        <is>
          <t>8</t>
        </is>
      </c>
      <c r="C29" s="10" t="inlineStr">
        <is>
          <t>frame_0025.jpg</t>
        </is>
      </c>
      <c r="D29" s="10" t="inlineStr">
        <is>
          <t>2026-05-20T21:13:46.599583</t>
        </is>
      </c>
      <c r="E29" s="10" t="inlineStr">
        <is>
          <t>GT_T005</t>
        </is>
      </c>
      <c r="F29" s="10" t="n">
        <v>34.6</v>
      </c>
      <c r="G29" s="10" t="n">
        <v>0.4</v>
      </c>
      <c r="H29" s="10" t="inlineStr">
        <is>
          <t>B025</t>
        </is>
      </c>
      <c r="I29" s="10" t="inlineStr">
        <is>
          <t>PALM-0007</t>
        </is>
      </c>
      <c r="J29" s="7" t="n">
        <v>1.466</v>
      </c>
      <c r="K29" s="10" t="inlineStr">
        <is>
          <t>Yes</t>
        </is>
      </c>
      <c r="L29" s="10" t="inlineStr">
        <is>
          <t>No</t>
        </is>
      </c>
      <c r="M29" s="10" t="inlineStr">
        <is>
          <t>No</t>
        </is>
      </c>
      <c r="N29" s="10" t="inlineStr">
        <is>
          <t>No</t>
        </is>
      </c>
      <c r="O29" s="5" t="n">
        <v>0.8</v>
      </c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 ht="15" customHeight="1">
      <c r="A30" s="10" t="inlineStr">
        <is>
          <t>O026</t>
        </is>
      </c>
      <c r="B30" s="10" t="n"/>
      <c r="C30" s="10" t="n"/>
      <c r="D30" s="10" t="n"/>
      <c r="E30" s="10" t="n"/>
      <c r="F30" s="10" t="n"/>
      <c r="G30" s="10" t="n"/>
      <c r="H30" s="10" t="inlineStr">
        <is>
          <t>B026</t>
        </is>
      </c>
      <c r="I30" s="10" t="n"/>
      <c r="J30" s="7" t="n"/>
      <c r="K30" s="10" t="n"/>
      <c r="L30" s="10" t="n"/>
      <c r="M30" s="10" t="n"/>
      <c r="N30" s="10" t="n"/>
      <c r="O30" s="5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 ht="15" customHeight="1">
      <c r="A31" s="10" t="inlineStr">
        <is>
          <t>O027</t>
        </is>
      </c>
      <c r="B31" s="10" t="n"/>
      <c r="C31" s="10" t="n"/>
      <c r="D31" s="10" t="n"/>
      <c r="E31" s="10" t="n"/>
      <c r="F31" s="10" t="n"/>
      <c r="G31" s="10" t="n"/>
      <c r="H31" s="10" t="inlineStr">
        <is>
          <t>B027</t>
        </is>
      </c>
      <c r="I31" s="10" t="n"/>
      <c r="J31" s="7" t="n"/>
      <c r="K31" s="10" t="n"/>
      <c r="L31" s="10" t="n"/>
      <c r="M31" s="10" t="n"/>
      <c r="N31" s="10" t="n"/>
      <c r="O31" s="5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 ht="15" customHeight="1">
      <c r="A32" s="10" t="inlineStr">
        <is>
          <t>O028</t>
        </is>
      </c>
      <c r="B32" s="10" t="n"/>
      <c r="C32" s="10" t="n"/>
      <c r="D32" s="10" t="n"/>
      <c r="E32" s="10" t="n"/>
      <c r="F32" s="10" t="n"/>
      <c r="G32" s="10" t="n"/>
      <c r="H32" s="10" t="inlineStr">
        <is>
          <t>B028</t>
        </is>
      </c>
      <c r="I32" s="10" t="n"/>
      <c r="J32" s="7" t="n"/>
      <c r="K32" s="10" t="n"/>
      <c r="L32" s="10" t="n"/>
      <c r="M32" s="10" t="n"/>
      <c r="N32" s="10" t="n"/>
      <c r="O32" s="5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5" customHeight="1">
      <c r="A33" s="10" t="inlineStr">
        <is>
          <t>O029</t>
        </is>
      </c>
      <c r="B33" s="10" t="n"/>
      <c r="C33" s="10" t="n"/>
      <c r="D33" s="10" t="n"/>
      <c r="E33" s="10" t="n"/>
      <c r="F33" s="10" t="n"/>
      <c r="G33" s="10" t="n"/>
      <c r="H33" s="10" t="inlineStr">
        <is>
          <t>B029</t>
        </is>
      </c>
      <c r="I33" s="10" t="n"/>
      <c r="J33" s="7" t="n"/>
      <c r="K33" s="10" t="n"/>
      <c r="L33" s="10" t="n"/>
      <c r="M33" s="10" t="n"/>
      <c r="N33" s="10" t="n"/>
      <c r="O33" s="5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</row>
    <row r="34" ht="15" customHeight="1">
      <c r="A34" s="10" t="inlineStr">
        <is>
          <t>O030</t>
        </is>
      </c>
      <c r="B34" s="10" t="n"/>
      <c r="C34" s="10" t="n"/>
      <c r="D34" s="10" t="n"/>
      <c r="E34" s="10" t="n"/>
      <c r="F34" s="10" t="n"/>
      <c r="G34" s="10" t="n"/>
      <c r="H34" s="10" t="inlineStr">
        <is>
          <t>B030</t>
        </is>
      </c>
      <c r="I34" s="10" t="n"/>
      <c r="J34" s="7" t="n"/>
      <c r="K34" s="10" t="n"/>
      <c r="L34" s="10" t="n"/>
      <c r="M34" s="10" t="n"/>
      <c r="N34" s="10" t="n"/>
      <c r="O34" s="5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</row>
    <row r="35" ht="15" customHeight="1">
      <c r="A35" s="10" t="inlineStr">
        <is>
          <t>O031</t>
        </is>
      </c>
      <c r="B35" s="10" t="n"/>
      <c r="C35" s="10" t="n"/>
      <c r="D35" s="10" t="n"/>
      <c r="E35" s="10" t="n"/>
      <c r="F35" s="10" t="n"/>
      <c r="G35" s="10" t="n"/>
      <c r="H35" s="10" t="inlineStr">
        <is>
          <t>B031</t>
        </is>
      </c>
      <c r="I35" s="10" t="n"/>
      <c r="J35" s="7" t="n"/>
      <c r="K35" s="10" t="n"/>
      <c r="L35" s="10" t="n"/>
      <c r="M35" s="10" t="n"/>
      <c r="N35" s="10" t="n"/>
      <c r="O35" s="5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</row>
    <row r="36" ht="15" customHeight="1">
      <c r="A36" s="10" t="inlineStr">
        <is>
          <t>O032</t>
        </is>
      </c>
      <c r="B36" s="10" t="n"/>
      <c r="C36" s="10" t="n"/>
      <c r="D36" s="10" t="n"/>
      <c r="E36" s="10" t="n"/>
      <c r="F36" s="10" t="n"/>
      <c r="G36" s="10" t="n"/>
      <c r="H36" s="10" t="inlineStr">
        <is>
          <t>B032</t>
        </is>
      </c>
      <c r="I36" s="10" t="n"/>
      <c r="J36" s="7" t="n"/>
      <c r="K36" s="10" t="n"/>
      <c r="L36" s="10" t="n"/>
      <c r="M36" s="10" t="n"/>
      <c r="N36" s="10" t="n"/>
      <c r="O36" s="5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 ht="15" customHeight="1">
      <c r="A37" s="10" t="inlineStr">
        <is>
          <t>O033</t>
        </is>
      </c>
      <c r="B37" s="10" t="n"/>
      <c r="C37" s="10" t="n"/>
      <c r="D37" s="10" t="n"/>
      <c r="E37" s="10" t="n"/>
      <c r="F37" s="10" t="n"/>
      <c r="G37" s="10" t="n"/>
      <c r="H37" s="10" t="inlineStr">
        <is>
          <t>B033</t>
        </is>
      </c>
      <c r="I37" s="10" t="n"/>
      <c r="J37" s="7" t="n"/>
      <c r="K37" s="10" t="n"/>
      <c r="L37" s="10" t="n"/>
      <c r="M37" s="10" t="n"/>
      <c r="N37" s="10" t="n"/>
      <c r="O37" s="5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</row>
    <row r="38" ht="15" customHeight="1">
      <c r="A38" s="10" t="inlineStr">
        <is>
          <t>O034</t>
        </is>
      </c>
      <c r="B38" s="10" t="n"/>
      <c r="C38" s="10" t="n"/>
      <c r="D38" s="10" t="n"/>
      <c r="E38" s="10" t="n"/>
      <c r="F38" s="10" t="n"/>
      <c r="G38" s="10" t="n"/>
      <c r="H38" s="10" t="inlineStr">
        <is>
          <t>B034</t>
        </is>
      </c>
      <c r="I38" s="10" t="n"/>
      <c r="J38" s="7" t="n"/>
      <c r="K38" s="10" t="n"/>
      <c r="L38" s="10" t="n"/>
      <c r="M38" s="10" t="n"/>
      <c r="N38" s="10" t="n"/>
      <c r="O38" s="5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 ht="15" customHeight="1">
      <c r="A39" s="10" t="inlineStr">
        <is>
          <t>O035</t>
        </is>
      </c>
      <c r="B39" s="10" t="n"/>
      <c r="C39" s="10" t="n"/>
      <c r="D39" s="10" t="n"/>
      <c r="E39" s="10" t="n"/>
      <c r="F39" s="10" t="n"/>
      <c r="G39" s="10" t="n"/>
      <c r="H39" s="10" t="inlineStr">
        <is>
          <t>B035</t>
        </is>
      </c>
      <c r="I39" s="10" t="n"/>
      <c r="J39" s="7" t="n"/>
      <c r="K39" s="10" t="n"/>
      <c r="L39" s="10" t="n"/>
      <c r="M39" s="10" t="n"/>
      <c r="N39" s="10" t="n"/>
      <c r="O39" s="5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 ht="15" customHeight="1">
      <c r="A40" s="10" t="inlineStr">
        <is>
          <t>O036</t>
        </is>
      </c>
      <c r="B40" s="10" t="n"/>
      <c r="C40" s="10" t="n"/>
      <c r="D40" s="10" t="n"/>
      <c r="E40" s="10" t="n"/>
      <c r="F40" s="10" t="n"/>
      <c r="G40" s="10" t="n"/>
      <c r="H40" s="10" t="inlineStr">
        <is>
          <t>B036</t>
        </is>
      </c>
      <c r="I40" s="10" t="n"/>
      <c r="J40" s="7" t="n"/>
      <c r="K40" s="10" t="n"/>
      <c r="L40" s="10" t="n"/>
      <c r="M40" s="10" t="n"/>
      <c r="N40" s="10" t="n"/>
      <c r="O40" s="5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</row>
    <row r="41" ht="15" customHeight="1">
      <c r="A41" s="10" t="inlineStr">
        <is>
          <t>O037</t>
        </is>
      </c>
      <c r="B41" s="10" t="n"/>
      <c r="C41" s="10" t="n"/>
      <c r="D41" s="10" t="n"/>
      <c r="E41" s="10" t="n"/>
      <c r="F41" s="10" t="n"/>
      <c r="G41" s="10" t="n"/>
      <c r="H41" s="10" t="inlineStr">
        <is>
          <t>B037</t>
        </is>
      </c>
      <c r="I41" s="10" t="n"/>
      <c r="J41" s="7" t="n"/>
      <c r="K41" s="10" t="n"/>
      <c r="L41" s="10" t="n"/>
      <c r="M41" s="10" t="n"/>
      <c r="N41" s="10" t="n"/>
      <c r="O41" s="5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 ht="15" customHeight="1">
      <c r="A42" s="10" t="inlineStr">
        <is>
          <t>O038</t>
        </is>
      </c>
      <c r="B42" s="10" t="n"/>
      <c r="C42" s="10" t="n"/>
      <c r="D42" s="10" t="n"/>
      <c r="E42" s="10" t="n"/>
      <c r="F42" s="10" t="n"/>
      <c r="G42" s="10" t="n"/>
      <c r="H42" s="10" t="inlineStr">
        <is>
          <t>B038</t>
        </is>
      </c>
      <c r="I42" s="10" t="n"/>
      <c r="J42" s="7" t="n"/>
      <c r="K42" s="10" t="n"/>
      <c r="L42" s="10" t="n"/>
      <c r="M42" s="10" t="n"/>
      <c r="N42" s="10" t="n"/>
      <c r="O42" s="5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5" customHeight="1">
      <c r="A43" s="10" t="inlineStr">
        <is>
          <t>O039</t>
        </is>
      </c>
      <c r="B43" s="10" t="n"/>
      <c r="C43" s="10" t="n"/>
      <c r="D43" s="10" t="n"/>
      <c r="E43" s="10" t="n"/>
      <c r="F43" s="10" t="n"/>
      <c r="G43" s="10" t="n"/>
      <c r="H43" s="10" t="inlineStr">
        <is>
          <t>B039</t>
        </is>
      </c>
      <c r="I43" s="10" t="n"/>
      <c r="J43" s="7" t="n"/>
      <c r="K43" s="10" t="n"/>
      <c r="L43" s="10" t="n"/>
      <c r="M43" s="10" t="n"/>
      <c r="N43" s="10" t="n"/>
      <c r="O43" s="5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</row>
    <row r="44" ht="15" customHeight="1">
      <c r="A44" s="10" t="inlineStr">
        <is>
          <t>O040</t>
        </is>
      </c>
      <c r="B44" s="10" t="n"/>
      <c r="C44" s="10" t="n"/>
      <c r="D44" s="10" t="n"/>
      <c r="E44" s="10" t="n"/>
      <c r="F44" s="10" t="n"/>
      <c r="G44" s="10" t="n"/>
      <c r="H44" s="10" t="inlineStr">
        <is>
          <t>B040</t>
        </is>
      </c>
      <c r="I44" s="10" t="n"/>
      <c r="J44" s="7" t="n"/>
      <c r="K44" s="10" t="n"/>
      <c r="L44" s="10" t="n"/>
      <c r="M44" s="10" t="n"/>
      <c r="N44" s="10" t="n"/>
      <c r="O44" s="5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</row>
    <row r="45" ht="15" customHeight="1">
      <c r="A45" s="10" t="inlineStr">
        <is>
          <t>O041</t>
        </is>
      </c>
      <c r="B45" s="10" t="n"/>
      <c r="C45" s="10" t="n"/>
      <c r="D45" s="10" t="n"/>
      <c r="E45" s="10" t="n"/>
      <c r="F45" s="10" t="n"/>
      <c r="G45" s="10" t="n"/>
      <c r="H45" s="10" t="inlineStr">
        <is>
          <t>B041</t>
        </is>
      </c>
      <c r="I45" s="10" t="n"/>
      <c r="J45" s="7" t="n"/>
      <c r="K45" s="10" t="n"/>
      <c r="L45" s="10" t="n"/>
      <c r="M45" s="10" t="n"/>
      <c r="N45" s="10" t="n"/>
      <c r="O45" s="5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</row>
    <row r="46" ht="15" customHeight="1">
      <c r="A46" s="10" t="inlineStr">
        <is>
          <t>O042</t>
        </is>
      </c>
      <c r="B46" s="10" t="n"/>
      <c r="C46" s="10" t="n"/>
      <c r="D46" s="10" t="n"/>
      <c r="E46" s="10" t="n"/>
      <c r="F46" s="10" t="n"/>
      <c r="G46" s="10" t="n"/>
      <c r="H46" s="10" t="inlineStr">
        <is>
          <t>B042</t>
        </is>
      </c>
      <c r="I46" s="10" t="n"/>
      <c r="J46" s="7" t="n"/>
      <c r="K46" s="10" t="n"/>
      <c r="L46" s="10" t="n"/>
      <c r="M46" s="10" t="n"/>
      <c r="N46" s="10" t="n"/>
      <c r="O46" s="5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 ht="15" customHeight="1">
      <c r="A47" s="10" t="inlineStr">
        <is>
          <t>O043</t>
        </is>
      </c>
      <c r="B47" s="10" t="n"/>
      <c r="C47" s="10" t="n"/>
      <c r="D47" s="10" t="n"/>
      <c r="E47" s="10" t="n"/>
      <c r="F47" s="10" t="n"/>
      <c r="G47" s="10" t="n"/>
      <c r="H47" s="10" t="inlineStr">
        <is>
          <t>B043</t>
        </is>
      </c>
      <c r="I47" s="10" t="n"/>
      <c r="J47" s="7" t="n"/>
      <c r="K47" s="10" t="n"/>
      <c r="L47" s="10" t="n"/>
      <c r="M47" s="10" t="n"/>
      <c r="N47" s="10" t="n"/>
      <c r="O47" s="5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</row>
    <row r="48" ht="15" customHeight="1">
      <c r="A48" s="10" t="inlineStr">
        <is>
          <t>O044</t>
        </is>
      </c>
      <c r="B48" s="10" t="n"/>
      <c r="C48" s="10" t="n"/>
      <c r="D48" s="10" t="n"/>
      <c r="E48" s="10" t="n"/>
      <c r="F48" s="10" t="n"/>
      <c r="G48" s="10" t="n"/>
      <c r="H48" s="10" t="inlineStr">
        <is>
          <t>B044</t>
        </is>
      </c>
      <c r="I48" s="10" t="n"/>
      <c r="J48" s="7" t="n"/>
      <c r="K48" s="10" t="n"/>
      <c r="L48" s="10" t="n"/>
      <c r="M48" s="10" t="n"/>
      <c r="N48" s="10" t="n"/>
      <c r="O48" s="5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</row>
    <row r="49" ht="15" customHeight="1">
      <c r="A49" s="10" t="inlineStr">
        <is>
          <t>O045</t>
        </is>
      </c>
      <c r="B49" s="10" t="n"/>
      <c r="C49" s="10" t="n"/>
      <c r="D49" s="10" t="n"/>
      <c r="E49" s="10" t="n"/>
      <c r="F49" s="10" t="n"/>
      <c r="G49" s="10" t="n"/>
      <c r="H49" s="10" t="inlineStr">
        <is>
          <t>B045</t>
        </is>
      </c>
      <c r="I49" s="10" t="n"/>
      <c r="J49" s="7" t="n"/>
      <c r="K49" s="10" t="n"/>
      <c r="L49" s="10" t="n"/>
      <c r="M49" s="10" t="n"/>
      <c r="N49" s="10" t="n"/>
      <c r="O49" s="5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 ht="15" customHeight="1">
      <c r="A50" s="10" t="inlineStr">
        <is>
          <t>O046</t>
        </is>
      </c>
      <c r="B50" s="10" t="n"/>
      <c r="C50" s="10" t="n"/>
      <c r="D50" s="10" t="n"/>
      <c r="E50" s="10" t="n"/>
      <c r="F50" s="10" t="n"/>
      <c r="G50" s="10" t="n"/>
      <c r="H50" s="10" t="inlineStr">
        <is>
          <t>B046</t>
        </is>
      </c>
      <c r="I50" s="10" t="n"/>
      <c r="J50" s="7" t="n"/>
      <c r="K50" s="10" t="n"/>
      <c r="L50" s="10" t="n"/>
      <c r="M50" s="10" t="n"/>
      <c r="N50" s="10" t="n"/>
      <c r="O50" s="5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</row>
    <row r="51" ht="15" customHeight="1">
      <c r="A51" s="10" t="inlineStr">
        <is>
          <t>O047</t>
        </is>
      </c>
      <c r="B51" s="10" t="n"/>
      <c r="C51" s="10" t="n"/>
      <c r="D51" s="10" t="n"/>
      <c r="E51" s="10" t="n"/>
      <c r="F51" s="10" t="n"/>
      <c r="G51" s="10" t="n"/>
      <c r="H51" s="10" t="inlineStr">
        <is>
          <t>B047</t>
        </is>
      </c>
      <c r="I51" s="10" t="n"/>
      <c r="J51" s="7" t="n"/>
      <c r="K51" s="10" t="n"/>
      <c r="L51" s="10" t="n"/>
      <c r="M51" s="10" t="n"/>
      <c r="N51" s="10" t="n"/>
      <c r="O51" s="5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</row>
    <row r="52" ht="15" customHeight="1">
      <c r="A52" s="10" t="inlineStr">
        <is>
          <t>O048</t>
        </is>
      </c>
      <c r="B52" s="10" t="n"/>
      <c r="C52" s="10" t="n"/>
      <c r="D52" s="10" t="n"/>
      <c r="E52" s="10" t="n"/>
      <c r="F52" s="10" t="n"/>
      <c r="G52" s="10" t="n"/>
      <c r="H52" s="10" t="inlineStr">
        <is>
          <t>B048</t>
        </is>
      </c>
      <c r="I52" s="10" t="n"/>
      <c r="J52" s="7" t="n"/>
      <c r="K52" s="10" t="n"/>
      <c r="L52" s="10" t="n"/>
      <c r="M52" s="10" t="n"/>
      <c r="N52" s="10" t="n"/>
      <c r="O52" s="5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</row>
    <row r="53" ht="15" customHeight="1">
      <c r="A53" s="10" t="inlineStr">
        <is>
          <t>O049</t>
        </is>
      </c>
      <c r="B53" s="10" t="n"/>
      <c r="C53" s="10" t="n"/>
      <c r="D53" s="10" t="n"/>
      <c r="E53" s="10" t="n"/>
      <c r="F53" s="10" t="n"/>
      <c r="G53" s="10" t="n"/>
      <c r="H53" s="10" t="inlineStr">
        <is>
          <t>B049</t>
        </is>
      </c>
      <c r="I53" s="10" t="n"/>
      <c r="J53" s="7" t="n"/>
      <c r="K53" s="10" t="n"/>
      <c r="L53" s="10" t="n"/>
      <c r="M53" s="10" t="n"/>
      <c r="N53" s="10" t="n"/>
      <c r="O53" s="5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5" customHeight="1">
      <c r="A54" s="10" t="inlineStr">
        <is>
          <t>O050</t>
        </is>
      </c>
      <c r="B54" s="10" t="n"/>
      <c r="C54" s="10" t="n"/>
      <c r="D54" s="10" t="n"/>
      <c r="E54" s="10" t="n"/>
      <c r="F54" s="10" t="n"/>
      <c r="G54" s="10" t="n"/>
      <c r="H54" s="10" t="inlineStr">
        <is>
          <t>B050</t>
        </is>
      </c>
      <c r="I54" s="10" t="n"/>
      <c r="J54" s="7" t="n"/>
      <c r="K54" s="10" t="n"/>
      <c r="L54" s="10" t="n"/>
      <c r="M54" s="10" t="n"/>
      <c r="N54" s="10" t="n"/>
      <c r="O54" s="5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</row>
    <row r="55" ht="15" customHeight="1">
      <c r="A55" s="10" t="inlineStr">
        <is>
          <t>O051</t>
        </is>
      </c>
      <c r="B55" s="10" t="n"/>
      <c r="C55" s="10" t="n"/>
      <c r="D55" s="10" t="n"/>
      <c r="E55" s="10" t="n"/>
      <c r="F55" s="10" t="n"/>
      <c r="G55" s="10" t="n"/>
      <c r="H55" s="10" t="inlineStr">
        <is>
          <t>B051</t>
        </is>
      </c>
      <c r="I55" s="10" t="n"/>
      <c r="J55" s="7" t="n"/>
      <c r="K55" s="10" t="n"/>
      <c r="L55" s="10" t="n"/>
      <c r="M55" s="10" t="n"/>
      <c r="N55" s="10" t="n"/>
      <c r="O55" s="5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</row>
    <row r="56" ht="15" customHeight="1">
      <c r="A56" s="10" t="inlineStr">
        <is>
          <t>O052</t>
        </is>
      </c>
      <c r="B56" s="10" t="n"/>
      <c r="C56" s="10" t="n"/>
      <c r="D56" s="10" t="n"/>
      <c r="E56" s="10" t="n"/>
      <c r="F56" s="10" t="n"/>
      <c r="G56" s="10" t="n"/>
      <c r="H56" s="10" t="inlineStr">
        <is>
          <t>B052</t>
        </is>
      </c>
      <c r="I56" s="10" t="n"/>
      <c r="J56" s="7" t="n"/>
      <c r="K56" s="10" t="n"/>
      <c r="L56" s="10" t="n"/>
      <c r="M56" s="10" t="n"/>
      <c r="N56" s="10" t="n"/>
      <c r="O56" s="5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</row>
    <row r="57" ht="15" customHeight="1">
      <c r="A57" s="10" t="inlineStr">
        <is>
          <t>O053</t>
        </is>
      </c>
      <c r="B57" s="10" t="n"/>
      <c r="C57" s="10" t="n"/>
      <c r="D57" s="10" t="n"/>
      <c r="E57" s="10" t="n"/>
      <c r="F57" s="10" t="n"/>
      <c r="G57" s="10" t="n"/>
      <c r="H57" s="10" t="inlineStr">
        <is>
          <t>B053</t>
        </is>
      </c>
      <c r="I57" s="10" t="n"/>
      <c r="J57" s="7" t="n"/>
      <c r="K57" s="10" t="n"/>
      <c r="L57" s="10" t="n"/>
      <c r="M57" s="10" t="n"/>
      <c r="N57" s="10" t="n"/>
      <c r="O57" s="5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</row>
    <row r="58" ht="15" customHeight="1">
      <c r="A58" s="10" t="inlineStr">
        <is>
          <t>O054</t>
        </is>
      </c>
      <c r="B58" s="10" t="n"/>
      <c r="C58" s="10" t="n"/>
      <c r="D58" s="10" t="n"/>
      <c r="E58" s="10" t="n"/>
      <c r="F58" s="10" t="n"/>
      <c r="G58" s="10" t="n"/>
      <c r="H58" s="10" t="inlineStr">
        <is>
          <t>B054</t>
        </is>
      </c>
      <c r="I58" s="10" t="n"/>
      <c r="J58" s="7" t="n"/>
      <c r="K58" s="10" t="n"/>
      <c r="L58" s="10" t="n"/>
      <c r="M58" s="10" t="n"/>
      <c r="N58" s="10" t="n"/>
      <c r="O58" s="5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</row>
    <row r="59" ht="15" customHeight="1">
      <c r="A59" s="10" t="inlineStr">
        <is>
          <t>O055</t>
        </is>
      </c>
      <c r="B59" s="10" t="n"/>
      <c r="C59" s="10" t="n"/>
      <c r="D59" s="10" t="n"/>
      <c r="E59" s="10" t="n"/>
      <c r="F59" s="10" t="n"/>
      <c r="G59" s="10" t="n"/>
      <c r="H59" s="10" t="inlineStr">
        <is>
          <t>B055</t>
        </is>
      </c>
      <c r="I59" s="10" t="n"/>
      <c r="J59" s="7" t="n"/>
      <c r="K59" s="10" t="n"/>
      <c r="L59" s="10" t="n"/>
      <c r="M59" s="10" t="n"/>
      <c r="N59" s="10" t="n"/>
      <c r="O59" s="5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</row>
    <row r="60" ht="15" customHeight="1">
      <c r="A60" s="10" t="inlineStr">
        <is>
          <t>O056</t>
        </is>
      </c>
      <c r="B60" s="10" t="n"/>
      <c r="C60" s="10" t="n"/>
      <c r="D60" s="10" t="n"/>
      <c r="E60" s="10" t="n"/>
      <c r="F60" s="10" t="n"/>
      <c r="G60" s="10" t="n"/>
      <c r="H60" s="10" t="inlineStr">
        <is>
          <t>B056</t>
        </is>
      </c>
      <c r="I60" s="10" t="n"/>
      <c r="J60" s="7" t="n"/>
      <c r="K60" s="10" t="n"/>
      <c r="L60" s="10" t="n"/>
      <c r="M60" s="10" t="n"/>
      <c r="N60" s="10" t="n"/>
      <c r="O60" s="5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</row>
    <row r="61" ht="15" customHeight="1">
      <c r="A61" s="10" t="inlineStr">
        <is>
          <t>O057</t>
        </is>
      </c>
      <c r="B61" s="10" t="n"/>
      <c r="C61" s="10" t="n"/>
      <c r="D61" s="10" t="n"/>
      <c r="E61" s="10" t="n"/>
      <c r="F61" s="10" t="n"/>
      <c r="G61" s="10" t="n"/>
      <c r="H61" s="10" t="inlineStr">
        <is>
          <t>B057</t>
        </is>
      </c>
      <c r="I61" s="10" t="n"/>
      <c r="J61" s="7" t="n"/>
      <c r="K61" s="10" t="n"/>
      <c r="L61" s="10" t="n"/>
      <c r="M61" s="10" t="n"/>
      <c r="N61" s="10" t="n"/>
      <c r="O61" s="5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</row>
    <row r="62" ht="15" customHeight="1">
      <c r="A62" s="10" t="inlineStr">
        <is>
          <t>O058</t>
        </is>
      </c>
      <c r="B62" s="10" t="n"/>
      <c r="C62" s="10" t="n"/>
      <c r="D62" s="10" t="n"/>
      <c r="E62" s="10" t="n"/>
      <c r="F62" s="10" t="n"/>
      <c r="G62" s="10" t="n"/>
      <c r="H62" s="10" t="inlineStr">
        <is>
          <t>B058</t>
        </is>
      </c>
      <c r="I62" s="10" t="n"/>
      <c r="J62" s="7" t="n"/>
      <c r="K62" s="10" t="n"/>
      <c r="L62" s="10" t="n"/>
      <c r="M62" s="10" t="n"/>
      <c r="N62" s="10" t="n"/>
      <c r="O62" s="5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</row>
    <row r="63" ht="15" customHeight="1">
      <c r="A63" s="10" t="inlineStr">
        <is>
          <t>O059</t>
        </is>
      </c>
      <c r="B63" s="10" t="n"/>
      <c r="C63" s="10" t="n"/>
      <c r="D63" s="10" t="n"/>
      <c r="E63" s="10" t="n"/>
      <c r="F63" s="10" t="n"/>
      <c r="G63" s="10" t="n"/>
      <c r="H63" s="10" t="inlineStr">
        <is>
          <t>B059</t>
        </is>
      </c>
      <c r="I63" s="10" t="n"/>
      <c r="J63" s="7" t="n"/>
      <c r="K63" s="10" t="n"/>
      <c r="L63" s="10" t="n"/>
      <c r="M63" s="10" t="n"/>
      <c r="N63" s="10" t="n"/>
      <c r="O63" s="5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</row>
    <row r="64" ht="15" customHeight="1">
      <c r="A64" s="10" t="inlineStr">
        <is>
          <t>O060</t>
        </is>
      </c>
      <c r="B64" s="10" t="n"/>
      <c r="C64" s="10" t="n"/>
      <c r="D64" s="10" t="n"/>
      <c r="E64" s="10" t="n"/>
      <c r="F64" s="10" t="n"/>
      <c r="G64" s="10" t="n"/>
      <c r="H64" s="10" t="inlineStr">
        <is>
          <t>B060</t>
        </is>
      </c>
      <c r="I64" s="10" t="n"/>
      <c r="J64" s="7" t="n"/>
      <c r="K64" s="10" t="n"/>
      <c r="L64" s="10" t="n"/>
      <c r="M64" s="10" t="n"/>
      <c r="N64" s="10" t="n"/>
      <c r="O64" s="5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</row>
    <row r="65" ht="15" customHeight="1">
      <c r="A65" s="10" t="inlineStr">
        <is>
          <t>O061</t>
        </is>
      </c>
      <c r="B65" s="10" t="n"/>
      <c r="C65" s="10" t="n"/>
      <c r="D65" s="10" t="n"/>
      <c r="E65" s="10" t="n"/>
      <c r="F65" s="10" t="n"/>
      <c r="G65" s="10" t="n"/>
      <c r="H65" s="10" t="inlineStr">
        <is>
          <t>B061</t>
        </is>
      </c>
      <c r="I65" s="10" t="n"/>
      <c r="J65" s="7" t="n"/>
      <c r="K65" s="10" t="n"/>
      <c r="L65" s="10" t="n"/>
      <c r="M65" s="10" t="n"/>
      <c r="N65" s="10" t="n"/>
      <c r="O65" s="5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</row>
    <row r="66" ht="15" customHeight="1">
      <c r="A66" s="10" t="inlineStr">
        <is>
          <t>O062</t>
        </is>
      </c>
      <c r="B66" s="10" t="n"/>
      <c r="C66" s="10" t="n"/>
      <c r="D66" s="10" t="n"/>
      <c r="E66" s="10" t="n"/>
      <c r="F66" s="10" t="n"/>
      <c r="G66" s="10" t="n"/>
      <c r="H66" s="10" t="inlineStr">
        <is>
          <t>B062</t>
        </is>
      </c>
      <c r="I66" s="10" t="n"/>
      <c r="J66" s="7" t="n"/>
      <c r="K66" s="10" t="n"/>
      <c r="L66" s="10" t="n"/>
      <c r="M66" s="10" t="n"/>
      <c r="N66" s="10" t="n"/>
      <c r="O66" s="5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</row>
    <row r="67" ht="15" customHeight="1">
      <c r="A67" s="10" t="inlineStr">
        <is>
          <t>O063</t>
        </is>
      </c>
      <c r="B67" s="10" t="n"/>
      <c r="C67" s="10" t="n"/>
      <c r="D67" s="10" t="n"/>
      <c r="E67" s="10" t="n"/>
      <c r="F67" s="10" t="n"/>
      <c r="G67" s="10" t="n"/>
      <c r="H67" s="10" t="inlineStr">
        <is>
          <t>B063</t>
        </is>
      </c>
      <c r="I67" s="10" t="n"/>
      <c r="J67" s="7" t="n"/>
      <c r="K67" s="10" t="n"/>
      <c r="L67" s="10" t="n"/>
      <c r="M67" s="10" t="n"/>
      <c r="N67" s="10" t="n"/>
      <c r="O67" s="5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</row>
    <row r="68" ht="15" customHeight="1">
      <c r="A68" s="10" t="inlineStr">
        <is>
          <t>O064</t>
        </is>
      </c>
      <c r="B68" s="10" t="n"/>
      <c r="C68" s="10" t="n"/>
      <c r="D68" s="10" t="n"/>
      <c r="E68" s="10" t="n"/>
      <c r="F68" s="10" t="n"/>
      <c r="G68" s="10" t="n"/>
      <c r="H68" s="10" t="inlineStr">
        <is>
          <t>B064</t>
        </is>
      </c>
      <c r="I68" s="10" t="n"/>
      <c r="J68" s="7" t="n"/>
      <c r="K68" s="10" t="n"/>
      <c r="L68" s="10" t="n"/>
      <c r="M68" s="10" t="n"/>
      <c r="N68" s="10" t="n"/>
      <c r="O68" s="5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</row>
    <row r="69" ht="15" customHeight="1">
      <c r="A69" s="10" t="inlineStr">
        <is>
          <t>O065</t>
        </is>
      </c>
      <c r="B69" s="10" t="n"/>
      <c r="C69" s="10" t="n"/>
      <c r="D69" s="10" t="n"/>
      <c r="E69" s="10" t="n"/>
      <c r="F69" s="10" t="n"/>
      <c r="G69" s="10" t="n"/>
      <c r="H69" s="10" t="inlineStr">
        <is>
          <t>B065</t>
        </is>
      </c>
      <c r="I69" s="10" t="n"/>
      <c r="J69" s="7" t="n"/>
      <c r="K69" s="10" t="n"/>
      <c r="L69" s="10" t="n"/>
      <c r="M69" s="10" t="n"/>
      <c r="N69" s="10" t="n"/>
      <c r="O69" s="5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</row>
    <row r="70" ht="15" customHeight="1">
      <c r="A70" s="10" t="inlineStr">
        <is>
          <t>O066</t>
        </is>
      </c>
      <c r="B70" s="10" t="n"/>
      <c r="C70" s="10" t="n"/>
      <c r="D70" s="10" t="n"/>
      <c r="E70" s="10" t="n"/>
      <c r="F70" s="10" t="n"/>
      <c r="G70" s="10" t="n"/>
      <c r="H70" s="10" t="inlineStr">
        <is>
          <t>B066</t>
        </is>
      </c>
      <c r="I70" s="10" t="n"/>
      <c r="J70" s="7" t="n"/>
      <c r="K70" s="10" t="n"/>
      <c r="L70" s="10" t="n"/>
      <c r="M70" s="10" t="n"/>
      <c r="N70" s="10" t="n"/>
      <c r="O70" s="5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</row>
    <row r="71" ht="15" customHeight="1">
      <c r="A71" s="10" t="inlineStr">
        <is>
          <t>O067</t>
        </is>
      </c>
      <c r="B71" s="10" t="n"/>
      <c r="C71" s="10" t="n"/>
      <c r="D71" s="10" t="n"/>
      <c r="E71" s="10" t="n"/>
      <c r="F71" s="10" t="n"/>
      <c r="G71" s="10" t="n"/>
      <c r="H71" s="10" t="inlineStr">
        <is>
          <t>B067</t>
        </is>
      </c>
      <c r="I71" s="10" t="n"/>
      <c r="J71" s="7" t="n"/>
      <c r="K71" s="10" t="n"/>
      <c r="L71" s="10" t="n"/>
      <c r="M71" s="10" t="n"/>
      <c r="N71" s="10" t="n"/>
      <c r="O71" s="5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</row>
    <row r="72" ht="15" customHeight="1">
      <c r="A72" s="10" t="inlineStr">
        <is>
          <t>O068</t>
        </is>
      </c>
      <c r="B72" s="10" t="n"/>
      <c r="C72" s="10" t="n"/>
      <c r="D72" s="10" t="n"/>
      <c r="E72" s="10" t="n"/>
      <c r="F72" s="10" t="n"/>
      <c r="G72" s="10" t="n"/>
      <c r="H72" s="10" t="inlineStr">
        <is>
          <t>B068</t>
        </is>
      </c>
      <c r="I72" s="10" t="n"/>
      <c r="J72" s="7" t="n"/>
      <c r="K72" s="10" t="n"/>
      <c r="L72" s="10" t="n"/>
      <c r="M72" s="10" t="n"/>
      <c r="N72" s="10" t="n"/>
      <c r="O72" s="5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</row>
    <row r="73" ht="15" customHeight="1">
      <c r="A73" s="10" t="inlineStr">
        <is>
          <t>O069</t>
        </is>
      </c>
      <c r="B73" s="10" t="n"/>
      <c r="C73" s="10" t="n"/>
      <c r="D73" s="10" t="n"/>
      <c r="E73" s="10" t="n"/>
      <c r="F73" s="10" t="n"/>
      <c r="G73" s="10" t="n"/>
      <c r="H73" s="10" t="inlineStr">
        <is>
          <t>B069</t>
        </is>
      </c>
      <c r="I73" s="10" t="n"/>
      <c r="J73" s="7" t="n"/>
      <c r="K73" s="10" t="n"/>
      <c r="L73" s="10" t="n"/>
      <c r="M73" s="10" t="n"/>
      <c r="N73" s="10" t="n"/>
      <c r="O73" s="5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</row>
    <row r="74" ht="15" customHeight="1">
      <c r="A74" s="10" t="inlineStr">
        <is>
          <t>O070</t>
        </is>
      </c>
      <c r="B74" s="10" t="n"/>
      <c r="C74" s="10" t="n"/>
      <c r="D74" s="10" t="n"/>
      <c r="E74" s="10" t="n"/>
      <c r="F74" s="10" t="n"/>
      <c r="G74" s="10" t="n"/>
      <c r="H74" s="10" t="inlineStr">
        <is>
          <t>B070</t>
        </is>
      </c>
      <c r="I74" s="10" t="n"/>
      <c r="J74" s="7" t="n"/>
      <c r="K74" s="10" t="n"/>
      <c r="L74" s="10" t="n"/>
      <c r="M74" s="10" t="n"/>
      <c r="N74" s="10" t="n"/>
      <c r="O74" s="5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</row>
    <row r="75" ht="15" customHeight="1">
      <c r="A75" s="10" t="inlineStr">
        <is>
          <t>O071</t>
        </is>
      </c>
      <c r="B75" s="10" t="n"/>
      <c r="C75" s="10" t="n"/>
      <c r="D75" s="10" t="n"/>
      <c r="E75" s="10" t="n"/>
      <c r="F75" s="10" t="n"/>
      <c r="G75" s="10" t="n"/>
      <c r="H75" s="10" t="inlineStr">
        <is>
          <t>B071</t>
        </is>
      </c>
      <c r="I75" s="10" t="n"/>
      <c r="J75" s="7" t="n"/>
      <c r="K75" s="10" t="n"/>
      <c r="L75" s="10" t="n"/>
      <c r="M75" s="10" t="n"/>
      <c r="N75" s="10" t="n"/>
      <c r="O75" s="5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</row>
    <row r="76" ht="15" customHeight="1">
      <c r="A76" s="10" t="inlineStr">
        <is>
          <t>O072</t>
        </is>
      </c>
      <c r="B76" s="10" t="n"/>
      <c r="C76" s="10" t="n"/>
      <c r="D76" s="10" t="n"/>
      <c r="E76" s="10" t="n"/>
      <c r="F76" s="10" t="n"/>
      <c r="G76" s="10" t="n"/>
      <c r="H76" s="10" t="inlineStr">
        <is>
          <t>B072</t>
        </is>
      </c>
      <c r="I76" s="10" t="n"/>
      <c r="J76" s="7" t="n"/>
      <c r="K76" s="10" t="n"/>
      <c r="L76" s="10" t="n"/>
      <c r="M76" s="10" t="n"/>
      <c r="N76" s="10" t="n"/>
      <c r="O76" s="5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 ht="15" customHeight="1">
      <c r="A77" s="10" t="inlineStr">
        <is>
          <t>O073</t>
        </is>
      </c>
      <c r="B77" s="10" t="n"/>
      <c r="C77" s="10" t="n"/>
      <c r="D77" s="10" t="n"/>
      <c r="E77" s="10" t="n"/>
      <c r="F77" s="10" t="n"/>
      <c r="G77" s="10" t="n"/>
      <c r="H77" s="10" t="inlineStr">
        <is>
          <t>B073</t>
        </is>
      </c>
      <c r="I77" s="10" t="n"/>
      <c r="J77" s="7" t="n"/>
      <c r="K77" s="10" t="n"/>
      <c r="L77" s="10" t="n"/>
      <c r="M77" s="10" t="n"/>
      <c r="N77" s="10" t="n"/>
      <c r="O77" s="5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</row>
    <row r="78" ht="15" customHeight="1">
      <c r="A78" s="10" t="inlineStr">
        <is>
          <t>O074</t>
        </is>
      </c>
      <c r="B78" s="10" t="n"/>
      <c r="C78" s="10" t="n"/>
      <c r="D78" s="10" t="n"/>
      <c r="E78" s="10" t="n"/>
      <c r="F78" s="10" t="n"/>
      <c r="G78" s="10" t="n"/>
      <c r="H78" s="10" t="inlineStr">
        <is>
          <t>B074</t>
        </is>
      </c>
      <c r="I78" s="10" t="n"/>
      <c r="J78" s="7" t="n"/>
      <c r="K78" s="10" t="n"/>
      <c r="L78" s="10" t="n"/>
      <c r="M78" s="10" t="n"/>
      <c r="N78" s="10" t="n"/>
      <c r="O78" s="5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</row>
    <row r="79" ht="15" customHeight="1">
      <c r="A79" s="10" t="inlineStr">
        <is>
          <t>O075</t>
        </is>
      </c>
      <c r="B79" s="10" t="n"/>
      <c r="C79" s="10" t="n"/>
      <c r="D79" s="10" t="n"/>
      <c r="E79" s="10" t="n"/>
      <c r="F79" s="10" t="n"/>
      <c r="G79" s="10" t="n"/>
      <c r="H79" s="10" t="inlineStr">
        <is>
          <t>B075</t>
        </is>
      </c>
      <c r="I79" s="10" t="n"/>
      <c r="J79" s="7" t="n"/>
      <c r="K79" s="10" t="n"/>
      <c r="L79" s="10" t="n"/>
      <c r="M79" s="10" t="n"/>
      <c r="N79" s="10" t="n"/>
      <c r="O79" s="5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</row>
    <row r="80" ht="15" customHeight="1">
      <c r="A80" s="10" t="inlineStr">
        <is>
          <t>O076</t>
        </is>
      </c>
      <c r="B80" s="10" t="n"/>
      <c r="C80" s="10" t="n"/>
      <c r="D80" s="10" t="n"/>
      <c r="E80" s="10" t="n"/>
      <c r="F80" s="10" t="n"/>
      <c r="G80" s="10" t="n"/>
      <c r="H80" s="10" t="inlineStr">
        <is>
          <t>B076</t>
        </is>
      </c>
      <c r="I80" s="10" t="n"/>
      <c r="J80" s="7" t="n"/>
      <c r="K80" s="10" t="n"/>
      <c r="L80" s="10" t="n"/>
      <c r="M80" s="10" t="n"/>
      <c r="N80" s="10" t="n"/>
      <c r="O80" s="5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</row>
    <row r="81" ht="15" customHeight="1">
      <c r="A81" s="10" t="inlineStr">
        <is>
          <t>O077</t>
        </is>
      </c>
      <c r="B81" s="10" t="n"/>
      <c r="C81" s="10" t="n"/>
      <c r="D81" s="10" t="n"/>
      <c r="E81" s="10" t="n"/>
      <c r="F81" s="10" t="n"/>
      <c r="G81" s="10" t="n"/>
      <c r="H81" s="10" t="inlineStr">
        <is>
          <t>B077</t>
        </is>
      </c>
      <c r="I81" s="10" t="n"/>
      <c r="J81" s="7" t="n"/>
      <c r="K81" s="10" t="n"/>
      <c r="L81" s="10" t="n"/>
      <c r="M81" s="10" t="n"/>
      <c r="N81" s="10" t="n"/>
      <c r="O81" s="5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</row>
    <row r="82" ht="15" customHeight="1">
      <c r="A82" s="10" t="inlineStr">
        <is>
          <t>O078</t>
        </is>
      </c>
      <c r="B82" s="10" t="n"/>
      <c r="C82" s="10" t="n"/>
      <c r="D82" s="10" t="n"/>
      <c r="E82" s="10" t="n"/>
      <c r="F82" s="10" t="n"/>
      <c r="G82" s="10" t="n"/>
      <c r="H82" s="10" t="inlineStr">
        <is>
          <t>B078</t>
        </is>
      </c>
      <c r="I82" s="10" t="n"/>
      <c r="J82" s="7" t="n"/>
      <c r="K82" s="10" t="n"/>
      <c r="L82" s="10" t="n"/>
      <c r="M82" s="10" t="n"/>
      <c r="N82" s="10" t="n"/>
      <c r="O82" s="5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</row>
    <row r="83" ht="15" customHeight="1">
      <c r="A83" s="10" t="inlineStr">
        <is>
          <t>O079</t>
        </is>
      </c>
      <c r="B83" s="10" t="n"/>
      <c r="C83" s="10" t="n"/>
      <c r="D83" s="10" t="n"/>
      <c r="E83" s="10" t="n"/>
      <c r="F83" s="10" t="n"/>
      <c r="G83" s="10" t="n"/>
      <c r="H83" s="10" t="inlineStr">
        <is>
          <t>B079</t>
        </is>
      </c>
      <c r="I83" s="10" t="n"/>
      <c r="J83" s="7" t="n"/>
      <c r="K83" s="10" t="n"/>
      <c r="L83" s="10" t="n"/>
      <c r="M83" s="10" t="n"/>
      <c r="N83" s="10" t="n"/>
      <c r="O83" s="5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</row>
    <row r="84" ht="15" customHeight="1">
      <c r="A84" s="10" t="inlineStr">
        <is>
          <t>O080</t>
        </is>
      </c>
      <c r="B84" s="10" t="n"/>
      <c r="C84" s="10" t="n"/>
      <c r="D84" s="10" t="n"/>
      <c r="E84" s="10" t="n"/>
      <c r="F84" s="10" t="n"/>
      <c r="G84" s="10" t="n"/>
      <c r="H84" s="10" t="inlineStr">
        <is>
          <t>B080</t>
        </is>
      </c>
      <c r="I84" s="10" t="n"/>
      <c r="J84" s="7" t="n"/>
      <c r="K84" s="10" t="n"/>
      <c r="L84" s="10" t="n"/>
      <c r="M84" s="10" t="n"/>
      <c r="N84" s="10" t="n"/>
      <c r="O84" s="5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</row>
    <row r="85" ht="15" customHeight="1">
      <c r="A85" s="10" t="inlineStr">
        <is>
          <t>O081</t>
        </is>
      </c>
      <c r="B85" s="10" t="n"/>
      <c r="C85" s="10" t="n"/>
      <c r="D85" s="10" t="n"/>
      <c r="E85" s="10" t="n"/>
      <c r="F85" s="10" t="n"/>
      <c r="G85" s="10" t="n"/>
      <c r="H85" s="10" t="inlineStr">
        <is>
          <t>B081</t>
        </is>
      </c>
      <c r="I85" s="10" t="n"/>
      <c r="J85" s="7" t="n"/>
      <c r="K85" s="10" t="n"/>
      <c r="L85" s="10" t="n"/>
      <c r="M85" s="10" t="n"/>
      <c r="N85" s="10" t="n"/>
      <c r="O85" s="5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</row>
    <row r="86" ht="15" customHeight="1">
      <c r="A86" s="10" t="inlineStr">
        <is>
          <t>O082</t>
        </is>
      </c>
      <c r="B86" s="10" t="n"/>
      <c r="C86" s="10" t="n"/>
      <c r="D86" s="10" t="n"/>
      <c r="E86" s="10" t="n"/>
      <c r="F86" s="10" t="n"/>
      <c r="G86" s="10" t="n"/>
      <c r="H86" s="10" t="inlineStr">
        <is>
          <t>B082</t>
        </is>
      </c>
      <c r="I86" s="10" t="n"/>
      <c r="J86" s="7" t="n"/>
      <c r="K86" s="10" t="n"/>
      <c r="L86" s="10" t="n"/>
      <c r="M86" s="10" t="n"/>
      <c r="N86" s="10" t="n"/>
      <c r="O86" s="5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</row>
    <row r="87" ht="15" customHeight="1">
      <c r="A87" s="10" t="inlineStr">
        <is>
          <t>O083</t>
        </is>
      </c>
      <c r="B87" s="10" t="n"/>
      <c r="C87" s="10" t="n"/>
      <c r="D87" s="10" t="n"/>
      <c r="E87" s="10" t="n"/>
      <c r="F87" s="10" t="n"/>
      <c r="G87" s="10" t="n"/>
      <c r="H87" s="10" t="inlineStr">
        <is>
          <t>B083</t>
        </is>
      </c>
      <c r="I87" s="10" t="n"/>
      <c r="J87" s="7" t="n"/>
      <c r="K87" s="10" t="n"/>
      <c r="L87" s="10" t="n"/>
      <c r="M87" s="10" t="n"/>
      <c r="N87" s="10" t="n"/>
      <c r="O87" s="5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</row>
    <row r="88" ht="15" customHeight="1">
      <c r="A88" s="10" t="inlineStr">
        <is>
          <t>O084</t>
        </is>
      </c>
      <c r="B88" s="10" t="n"/>
      <c r="C88" s="10" t="n"/>
      <c r="D88" s="10" t="n"/>
      <c r="E88" s="10" t="n"/>
      <c r="F88" s="10" t="n"/>
      <c r="G88" s="10" t="n"/>
      <c r="H88" s="10" t="inlineStr">
        <is>
          <t>B084</t>
        </is>
      </c>
      <c r="I88" s="10" t="n"/>
      <c r="J88" s="7" t="n"/>
      <c r="K88" s="10" t="n"/>
      <c r="L88" s="10" t="n"/>
      <c r="M88" s="10" t="n"/>
      <c r="N88" s="10" t="n"/>
      <c r="O88" s="5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</row>
    <row r="89" ht="15" customHeight="1">
      <c r="A89" s="10" t="inlineStr">
        <is>
          <t>O085</t>
        </is>
      </c>
      <c r="B89" s="10" t="n"/>
      <c r="C89" s="10" t="n"/>
      <c r="D89" s="10" t="n"/>
      <c r="E89" s="10" t="n"/>
      <c r="F89" s="10" t="n"/>
      <c r="G89" s="10" t="n"/>
      <c r="H89" s="10" t="inlineStr">
        <is>
          <t>B085</t>
        </is>
      </c>
      <c r="I89" s="10" t="n"/>
      <c r="J89" s="7" t="n"/>
      <c r="K89" s="10" t="n"/>
      <c r="L89" s="10" t="n"/>
      <c r="M89" s="10" t="n"/>
      <c r="N89" s="10" t="n"/>
      <c r="O89" s="5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</row>
    <row r="90" ht="15" customHeight="1">
      <c r="A90" s="10" t="inlineStr">
        <is>
          <t>O086</t>
        </is>
      </c>
      <c r="B90" s="10" t="n"/>
      <c r="C90" s="10" t="n"/>
      <c r="D90" s="10" t="n"/>
      <c r="E90" s="10" t="n"/>
      <c r="F90" s="10" t="n"/>
      <c r="G90" s="10" t="n"/>
      <c r="H90" s="10" t="inlineStr">
        <is>
          <t>B086</t>
        </is>
      </c>
      <c r="I90" s="10" t="n"/>
      <c r="J90" s="7" t="n"/>
      <c r="K90" s="10" t="n"/>
      <c r="L90" s="10" t="n"/>
      <c r="M90" s="10" t="n"/>
      <c r="N90" s="10" t="n"/>
      <c r="O90" s="5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</row>
    <row r="91" ht="15" customHeight="1">
      <c r="A91" s="10" t="inlineStr">
        <is>
          <t>O087</t>
        </is>
      </c>
      <c r="B91" s="10" t="n"/>
      <c r="C91" s="10" t="n"/>
      <c r="D91" s="10" t="n"/>
      <c r="E91" s="10" t="n"/>
      <c r="F91" s="10" t="n"/>
      <c r="G91" s="10" t="n"/>
      <c r="H91" s="10" t="inlineStr">
        <is>
          <t>B087</t>
        </is>
      </c>
      <c r="I91" s="10" t="n"/>
      <c r="J91" s="7" t="n"/>
      <c r="K91" s="10" t="n"/>
      <c r="L91" s="10" t="n"/>
      <c r="M91" s="10" t="n"/>
      <c r="N91" s="10" t="n"/>
      <c r="O91" s="5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</row>
    <row r="92" ht="15" customHeight="1">
      <c r="A92" s="10" t="inlineStr">
        <is>
          <t>O088</t>
        </is>
      </c>
      <c r="B92" s="10" t="n"/>
      <c r="C92" s="10" t="n"/>
      <c r="D92" s="10" t="n"/>
      <c r="E92" s="10" t="n"/>
      <c r="F92" s="10" t="n"/>
      <c r="G92" s="10" t="n"/>
      <c r="H92" s="10" t="inlineStr">
        <is>
          <t>B088</t>
        </is>
      </c>
      <c r="I92" s="10" t="n"/>
      <c r="J92" s="7" t="n"/>
      <c r="K92" s="10" t="n"/>
      <c r="L92" s="10" t="n"/>
      <c r="M92" s="10" t="n"/>
      <c r="N92" s="10" t="n"/>
      <c r="O92" s="5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</row>
    <row r="93" ht="15" customHeight="1">
      <c r="A93" s="10" t="inlineStr">
        <is>
          <t>O089</t>
        </is>
      </c>
      <c r="B93" s="10" t="n"/>
      <c r="C93" s="10" t="n"/>
      <c r="D93" s="10" t="n"/>
      <c r="E93" s="10" t="n"/>
      <c r="F93" s="10" t="n"/>
      <c r="G93" s="10" t="n"/>
      <c r="H93" s="10" t="inlineStr">
        <is>
          <t>B089</t>
        </is>
      </c>
      <c r="I93" s="10" t="n"/>
      <c r="J93" s="7" t="n"/>
      <c r="K93" s="10" t="n"/>
      <c r="L93" s="10" t="n"/>
      <c r="M93" s="10" t="n"/>
      <c r="N93" s="10" t="n"/>
      <c r="O93" s="5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</row>
    <row r="94" ht="15" customHeight="1">
      <c r="A94" s="10" t="inlineStr">
        <is>
          <t>O090</t>
        </is>
      </c>
      <c r="B94" s="10" t="n"/>
      <c r="C94" s="10" t="n"/>
      <c r="D94" s="10" t="n"/>
      <c r="E94" s="10" t="n"/>
      <c r="F94" s="10" t="n"/>
      <c r="G94" s="10" t="n"/>
      <c r="H94" s="10" t="inlineStr">
        <is>
          <t>B090</t>
        </is>
      </c>
      <c r="I94" s="10" t="n"/>
      <c r="J94" s="7" t="n"/>
      <c r="K94" s="10" t="n"/>
      <c r="L94" s="10" t="n"/>
      <c r="M94" s="10" t="n"/>
      <c r="N94" s="10" t="n"/>
      <c r="O94" s="5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</row>
    <row r="95" ht="15" customHeight="1">
      <c r="A95" s="10" t="inlineStr">
        <is>
          <t>O091</t>
        </is>
      </c>
      <c r="B95" s="10" t="n"/>
      <c r="C95" s="10" t="n"/>
      <c r="D95" s="10" t="n"/>
      <c r="E95" s="10" t="n"/>
      <c r="F95" s="10" t="n"/>
      <c r="G95" s="10" t="n"/>
      <c r="H95" s="10" t="inlineStr">
        <is>
          <t>B091</t>
        </is>
      </c>
      <c r="I95" s="10" t="n"/>
      <c r="J95" s="7" t="n"/>
      <c r="K95" s="10" t="n"/>
      <c r="L95" s="10" t="n"/>
      <c r="M95" s="10" t="n"/>
      <c r="N95" s="10" t="n"/>
      <c r="O95" s="5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</row>
    <row r="96" ht="15" customHeight="1">
      <c r="A96" s="10" t="inlineStr">
        <is>
          <t>O092</t>
        </is>
      </c>
      <c r="B96" s="10" t="n"/>
      <c r="C96" s="10" t="n"/>
      <c r="D96" s="10" t="n"/>
      <c r="E96" s="10" t="n"/>
      <c r="F96" s="10" t="n"/>
      <c r="G96" s="10" t="n"/>
      <c r="H96" s="10" t="inlineStr">
        <is>
          <t>B092</t>
        </is>
      </c>
      <c r="I96" s="10" t="n"/>
      <c r="J96" s="7" t="n"/>
      <c r="K96" s="10" t="n"/>
      <c r="L96" s="10" t="n"/>
      <c r="M96" s="10" t="n"/>
      <c r="N96" s="10" t="n"/>
      <c r="O96" s="5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</row>
    <row r="97" ht="15" customHeight="1">
      <c r="A97" s="10" t="inlineStr">
        <is>
          <t>O093</t>
        </is>
      </c>
      <c r="B97" s="10" t="n"/>
      <c r="C97" s="10" t="n"/>
      <c r="D97" s="10" t="n"/>
      <c r="E97" s="10" t="n"/>
      <c r="F97" s="10" t="n"/>
      <c r="G97" s="10" t="n"/>
      <c r="H97" s="10" t="inlineStr">
        <is>
          <t>B093</t>
        </is>
      </c>
      <c r="I97" s="10" t="n"/>
      <c r="J97" s="7" t="n"/>
      <c r="K97" s="10" t="n"/>
      <c r="L97" s="10" t="n"/>
      <c r="M97" s="10" t="n"/>
      <c r="N97" s="10" t="n"/>
      <c r="O97" s="5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</row>
    <row r="98" ht="15" customHeight="1">
      <c r="A98" s="10" t="inlineStr">
        <is>
          <t>O094</t>
        </is>
      </c>
      <c r="B98" s="10" t="n"/>
      <c r="C98" s="10" t="n"/>
      <c r="D98" s="10" t="n"/>
      <c r="E98" s="10" t="n"/>
      <c r="F98" s="10" t="n"/>
      <c r="G98" s="10" t="n"/>
      <c r="H98" s="10" t="inlineStr">
        <is>
          <t>B094</t>
        </is>
      </c>
      <c r="I98" s="10" t="n"/>
      <c r="J98" s="7" t="n"/>
      <c r="K98" s="10" t="n"/>
      <c r="L98" s="10" t="n"/>
      <c r="M98" s="10" t="n"/>
      <c r="N98" s="10" t="n"/>
      <c r="O98" s="5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</row>
    <row r="99" ht="15" customHeight="1">
      <c r="A99" s="10" t="inlineStr">
        <is>
          <t>O095</t>
        </is>
      </c>
      <c r="B99" s="10" t="n"/>
      <c r="C99" s="10" t="n"/>
      <c r="D99" s="10" t="n"/>
      <c r="E99" s="10" t="n"/>
      <c r="F99" s="10" t="n"/>
      <c r="G99" s="10" t="n"/>
      <c r="H99" s="10" t="inlineStr">
        <is>
          <t>B095</t>
        </is>
      </c>
      <c r="I99" s="10" t="n"/>
      <c r="J99" s="7" t="n"/>
      <c r="K99" s="10" t="n"/>
      <c r="L99" s="10" t="n"/>
      <c r="M99" s="10" t="n"/>
      <c r="N99" s="10" t="n"/>
      <c r="O99" s="5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</row>
    <row r="100" ht="15" customHeight="1">
      <c r="A100" s="10" t="inlineStr">
        <is>
          <t>O096</t>
        </is>
      </c>
      <c r="B100" s="10" t="n"/>
      <c r="C100" s="10" t="n"/>
      <c r="D100" s="10" t="n"/>
      <c r="E100" s="10" t="n"/>
      <c r="F100" s="10" t="n"/>
      <c r="G100" s="10" t="n"/>
      <c r="H100" s="10" t="inlineStr">
        <is>
          <t>B096</t>
        </is>
      </c>
      <c r="I100" s="10" t="n"/>
      <c r="J100" s="7" t="n"/>
      <c r="K100" s="10" t="n"/>
      <c r="L100" s="10" t="n"/>
      <c r="M100" s="10" t="n"/>
      <c r="N100" s="10" t="n"/>
      <c r="O100" s="5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</row>
    <row r="101" ht="15" customHeight="1">
      <c r="A101" s="10" t="inlineStr">
        <is>
          <t>O097</t>
        </is>
      </c>
      <c r="B101" s="10" t="n"/>
      <c r="C101" s="10" t="n"/>
      <c r="D101" s="10" t="n"/>
      <c r="E101" s="10" t="n"/>
      <c r="F101" s="10" t="n"/>
      <c r="G101" s="10" t="n"/>
      <c r="H101" s="10" t="inlineStr">
        <is>
          <t>B097</t>
        </is>
      </c>
      <c r="I101" s="10" t="n"/>
      <c r="J101" s="7" t="n"/>
      <c r="K101" s="10" t="n"/>
      <c r="L101" s="10" t="n"/>
      <c r="M101" s="10" t="n"/>
      <c r="N101" s="10" t="n"/>
      <c r="O101" s="5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</row>
    <row r="102" ht="15" customHeight="1">
      <c r="A102" s="10" t="inlineStr">
        <is>
          <t>O098</t>
        </is>
      </c>
      <c r="B102" s="10" t="n"/>
      <c r="C102" s="10" t="n"/>
      <c r="D102" s="10" t="n"/>
      <c r="E102" s="10" t="n"/>
      <c r="F102" s="10" t="n"/>
      <c r="G102" s="10" t="n"/>
      <c r="H102" s="10" t="inlineStr">
        <is>
          <t>B098</t>
        </is>
      </c>
      <c r="I102" s="10" t="n"/>
      <c r="J102" s="7" t="n"/>
      <c r="K102" s="10" t="n"/>
      <c r="L102" s="10" t="n"/>
      <c r="M102" s="10" t="n"/>
      <c r="N102" s="10" t="n"/>
      <c r="O102" s="5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</row>
    <row r="103" ht="15" customHeight="1">
      <c r="A103" s="10" t="inlineStr">
        <is>
          <t>O099</t>
        </is>
      </c>
      <c r="B103" s="10" t="n"/>
      <c r="C103" s="10" t="n"/>
      <c r="D103" s="10" t="n"/>
      <c r="E103" s="10" t="n"/>
      <c r="F103" s="10" t="n"/>
      <c r="G103" s="10" t="n"/>
      <c r="H103" s="10" t="inlineStr">
        <is>
          <t>B099</t>
        </is>
      </c>
      <c r="I103" s="10" t="n"/>
      <c r="J103" s="7" t="n"/>
      <c r="K103" s="10" t="n"/>
      <c r="L103" s="10" t="n"/>
      <c r="M103" s="10" t="n"/>
      <c r="N103" s="10" t="n"/>
      <c r="O103" s="5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</row>
    <row r="104" ht="15" customHeight="1">
      <c r="A104" s="10" t="inlineStr">
        <is>
          <t>O100</t>
        </is>
      </c>
      <c r="B104" s="10" t="n"/>
      <c r="C104" s="10" t="n"/>
      <c r="D104" s="10" t="n"/>
      <c r="E104" s="10" t="n"/>
      <c r="F104" s="10" t="n"/>
      <c r="G104" s="10" t="n"/>
      <c r="H104" s="10" t="inlineStr">
        <is>
          <t>B100</t>
        </is>
      </c>
      <c r="I104" s="10" t="n"/>
      <c r="J104" s="7" t="n"/>
      <c r="K104" s="10" t="n"/>
      <c r="L104" s="10" t="n"/>
      <c r="M104" s="10" t="n"/>
      <c r="N104" s="10" t="n"/>
      <c r="O104" s="5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</row>
    <row r="105" ht="15" customHeight="1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</row>
    <row r="106" ht="15" customHeight="1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</row>
    <row r="107" ht="15" customHeight="1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</row>
    <row r="108" ht="15" customHeight="1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</row>
    <row r="109" ht="15" customHeight="1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</row>
    <row r="110" ht="15" customHeight="1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</row>
    <row r="111" ht="15" customHeight="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</row>
    <row r="112" ht="15" customHeight="1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</row>
    <row r="113" ht="15" customHeight="1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</row>
    <row r="114" ht="15" customHeight="1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</row>
    <row r="115" ht="15" customHeight="1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</row>
    <row r="116" ht="15" customHeight="1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</row>
    <row r="117" ht="15" customHeight="1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</row>
    <row r="118" ht="15" customHeight="1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</row>
    <row r="119" ht="15" customHeight="1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</row>
    <row r="120" ht="15" customHeight="1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</row>
    <row r="121" ht="15" customHeight="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</row>
    <row r="122" ht="15" customHeight="1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</row>
    <row r="123" ht="15" customHeight="1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</row>
    <row r="124" ht="15" customHeight="1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</row>
    <row r="125" ht="15" customHeight="1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</row>
    <row r="126" ht="15" customHeight="1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</row>
    <row r="127" ht="15" customHeight="1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</row>
    <row r="128" ht="15" customHeight="1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</row>
    <row r="129" ht="15" customHeight="1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</row>
    <row r="130" ht="15" customHeight="1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</row>
    <row r="131" ht="15" customHeight="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</row>
    <row r="132" ht="15" customHeight="1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</row>
    <row r="133" ht="15" customHeight="1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</row>
    <row r="134" ht="15" customHeight="1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</row>
    <row r="135" ht="15" customHeight="1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</row>
    <row r="136" ht="15" customHeight="1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</row>
    <row r="137" ht="15" customHeight="1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</row>
    <row r="138" ht="15" customHeight="1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</row>
    <row r="139" ht="15" customHeight="1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</row>
    <row r="140" ht="15" customHeight="1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</row>
    <row r="141" ht="15" customHeight="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</row>
    <row r="142" ht="15" customHeight="1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</row>
    <row r="143" ht="15" customHeight="1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</row>
    <row r="144" ht="15" customHeight="1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</row>
    <row r="145" ht="15" customHeight="1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</row>
    <row r="146" ht="15" customHeight="1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</row>
    <row r="147" ht="15" customHeight="1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</row>
    <row r="148" ht="15" customHeight="1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</row>
    <row r="149" ht="15" customHeight="1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</row>
    <row r="150" ht="15" customHeight="1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</row>
    <row r="151" ht="15" customHeight="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</row>
    <row r="152" ht="15" customHeight="1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</row>
    <row r="153" ht="15" customHeight="1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</row>
    <row r="154" ht="15" customHeight="1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</row>
    <row r="155" ht="15" customHeight="1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</row>
    <row r="156" ht="15" customHeight="1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</row>
    <row r="157" ht="15" customHeight="1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</row>
    <row r="158" ht="15" customHeight="1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</row>
    <row r="159" ht="15" customHeight="1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</row>
    <row r="160" ht="15" customHeight="1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</row>
    <row r="161" ht="15" customHeight="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</row>
    <row r="162" ht="15" customHeight="1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</row>
    <row r="163" ht="15" customHeight="1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</row>
    <row r="164" ht="15" customHeight="1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</row>
    <row r="165" ht="15" customHeight="1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</row>
    <row r="166" ht="15" customHeight="1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</row>
    <row r="167" ht="15" customHeight="1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</row>
    <row r="168" ht="15" customHeight="1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</row>
    <row r="169" ht="15" customHeight="1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</row>
    <row r="170" ht="15" customHeight="1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</row>
    <row r="171" ht="15" customHeight="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</row>
    <row r="172" ht="15" customHeight="1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</row>
    <row r="173" ht="15" customHeight="1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</row>
    <row r="174" ht="15" customHeight="1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</row>
    <row r="175" ht="15" customHeight="1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</row>
    <row r="176" ht="15" customHeight="1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</row>
    <row r="177" ht="15" customHeight="1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</row>
    <row r="178" ht="15" customHeight="1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</row>
    <row r="179" ht="15" customHeight="1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</row>
    <row r="180" ht="15" customHeight="1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</row>
    <row r="181" ht="15" customHeight="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</row>
    <row r="182" ht="15" customHeight="1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</row>
    <row r="183" ht="15" customHeight="1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</row>
    <row r="184" ht="15" customHeight="1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</row>
    <row r="185" ht="15" customHeight="1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</row>
    <row r="186" ht="15" customHeight="1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</row>
    <row r="187" ht="15" customHeight="1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</row>
    <row r="188" ht="15" customHeight="1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</row>
    <row r="189" ht="15" customHeight="1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</row>
    <row r="190" ht="15" customHeight="1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</row>
    <row r="191" ht="15" customHeight="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</row>
    <row r="192" ht="15" customHeight="1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</row>
    <row r="193" ht="15" customHeight="1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</row>
    <row r="194" ht="15" customHeight="1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</row>
    <row r="195" ht="15" customHeight="1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</row>
    <row r="196" ht="15" customHeight="1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</row>
    <row r="197" ht="15" customHeight="1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</row>
    <row r="198" ht="15" customHeight="1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</row>
    <row r="199" ht="15" customHeight="1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</row>
    <row r="200" ht="15" customHeight="1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</row>
  </sheetData>
  <mergeCells count="2">
    <mergeCell ref="A1:J1"/>
    <mergeCell ref="A2:J2"/>
  </mergeCells>
  <dataValidations count="1">
    <dataValidation sqref="K5:N104" showDropDown="0" showInputMessage="0" showErrorMessage="0" allowBlank="0" type="list">
      <formula1>"Yes,No,Unknown"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00"/>
  <sheetViews>
    <sheetView topLeftCell="E1" workbookViewId="0">
      <selection activeCell="M8" sqref="M8"/>
    </sheetView>
  </sheetViews>
  <sheetFormatPr baseColWidth="8" defaultRowHeight="14.25"/>
  <cols>
    <col width="12" customWidth="1" min="1" max="1"/>
    <col width="14" customWidth="1" min="2" max="5"/>
    <col width="12" customWidth="1" min="6" max="7"/>
    <col width="18" customWidth="1" min="8" max="8"/>
    <col width="22" customWidth="1" min="9" max="9"/>
    <col width="14" customWidth="1" min="10" max="10"/>
    <col width="35" customWidth="1" min="11" max="11"/>
    <col width="15.125" bestFit="1" customWidth="1" min="13" max="13"/>
    <col width="8" bestFit="1" customWidth="1" min="14" max="14"/>
    <col width="7" bestFit="1" customWidth="1" min="15" max="15"/>
    <col width="16.375" bestFit="1" customWidth="1" min="16" max="16"/>
  </cols>
  <sheetData>
    <row r="1">
      <c r="A1" s="9" t="inlineStr">
        <is>
          <t>Experiment E3 — Mapping Accuracy</t>
        </is>
      </c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>
      <c r="A2" s="11" t="inlineStr">
        <is>
          <t>Fill estimated and reference coordinates. Error metrics are computed automatically.</t>
        </is>
      </c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</row>
    <row r="4" ht="15" customHeight="1">
      <c r="A4" s="1" t="inlineStr">
        <is>
          <t>Tree_ID</t>
        </is>
      </c>
      <c r="B4" s="1" t="inlineStr">
        <is>
          <t>Reference_X</t>
        </is>
      </c>
      <c r="C4" s="1" t="inlineStr">
        <is>
          <t>Reference_Y</t>
        </is>
      </c>
      <c r="D4" s="1" t="inlineStr">
        <is>
          <t>Estimated_X</t>
        </is>
      </c>
      <c r="E4" s="1" t="inlineStr">
        <is>
          <t>Estimated_Y</t>
        </is>
      </c>
      <c r="F4" s="1" t="inlineStr">
        <is>
          <t>Error_X</t>
        </is>
      </c>
      <c r="G4" s="1" t="inlineStr">
        <is>
          <t>Error_Y</t>
        </is>
      </c>
      <c r="H4" s="1" t="inlineStr">
        <is>
          <t>Euclidean_Error_m</t>
        </is>
      </c>
      <c r="I4" s="1" t="inlineStr">
        <is>
          <t>Reference Source</t>
        </is>
      </c>
      <c r="J4" s="1" t="inlineStr">
        <is>
          <t>Quality Grade</t>
        </is>
      </c>
      <c r="K4" s="1" t="inlineStr">
        <is>
          <t>Notes</t>
        </is>
      </c>
      <c r="L4" s="10" t="n"/>
      <c r="M4" s="1" t="inlineStr">
        <is>
          <t>Metric</t>
        </is>
      </c>
      <c r="N4" s="1" t="inlineStr">
        <is>
          <t>Formula</t>
        </is>
      </c>
      <c r="O4" s="1" t="inlineStr">
        <is>
          <t>Value</t>
        </is>
      </c>
      <c r="P4" s="1" t="inlineStr">
        <is>
          <t>Comment</t>
        </is>
      </c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</row>
    <row r="5">
      <c r="A5" s="10" t="inlineStr">
        <is>
          <t>T001</t>
        </is>
      </c>
      <c r="B5" s="5" t="n">
        <v>0</v>
      </c>
      <c r="C5" s="5" t="n">
        <v>0</v>
      </c>
      <c r="D5" s="5" t="n">
        <v>-0.043</v>
      </c>
      <c r="E5" s="5" t="n">
        <v>-0.052</v>
      </c>
      <c r="F5" s="5" t="n">
        <v>-0.043</v>
      </c>
      <c r="G5" s="5" t="n">
        <v>-0.052</v>
      </c>
      <c r="H5" s="5" t="n">
        <v>0.068</v>
      </c>
      <c r="I5" s="10" t="inlineStr">
        <is>
          <t>Simulated ground truth</t>
        </is>
      </c>
      <c r="J5" s="10" t="inlineStr">
        <is>
          <t>A - simulated for validation</t>
        </is>
      </c>
      <c r="K5" s="10" t="n"/>
      <c r="L5" s="10" t="n"/>
      <c r="M5" s="10" t="inlineStr">
        <is>
          <t>N reference trees</t>
        </is>
      </c>
      <c r="N5" s="10">
        <f>COUNT(H5:H54)</f>
        <v/>
      </c>
      <c r="O5" s="10">
        <f>N5</f>
        <v/>
      </c>
      <c r="P5" s="10" t="inlineStr">
        <is>
          <t>Minimum 10–20.</t>
        </is>
      </c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</row>
    <row r="6">
      <c r="A6" s="10" t="inlineStr">
        <is>
          <t>T002</t>
        </is>
      </c>
      <c r="B6" s="5" t="n">
        <v>8.5</v>
      </c>
      <c r="C6" s="5" t="n">
        <v>0</v>
      </c>
      <c r="D6" s="5" t="n">
        <v>8.457000000000001</v>
      </c>
      <c r="E6" s="5" t="n">
        <v>-0.052</v>
      </c>
      <c r="F6" s="5" t="n">
        <v>-0.043</v>
      </c>
      <c r="G6" s="5" t="n">
        <v>-0.052</v>
      </c>
      <c r="H6" s="5" t="n">
        <v>0.068</v>
      </c>
      <c r="I6" s="10" t="inlineStr">
        <is>
          <t>Simulated ground truth</t>
        </is>
      </c>
      <c r="J6" s="10" t="inlineStr">
        <is>
          <t>A - simulated for validation</t>
        </is>
      </c>
      <c r="K6" s="10" t="n"/>
      <c r="L6" s="10" t="n"/>
      <c r="M6" s="10" t="inlineStr">
        <is>
          <t>Mean error (m)</t>
        </is>
      </c>
      <c r="N6" s="10">
        <f>IFERROR(AVERAGE(H5:H54),"")</f>
        <v/>
      </c>
      <c r="O6" s="5">
        <f>N6</f>
        <v/>
      </c>
      <c r="P6" s="10" t="inlineStr">
        <is>
          <t>Report in paper.</t>
        </is>
      </c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>
      <c r="A7" s="10" t="inlineStr">
        <is>
          <t>T003</t>
        </is>
      </c>
      <c r="B7" s="5" t="n">
        <v>17</v>
      </c>
      <c r="C7" s="5" t="n">
        <v>0</v>
      </c>
      <c r="D7" s="5" t="n">
        <v>16.957</v>
      </c>
      <c r="E7" s="5" t="n">
        <v>-0.052</v>
      </c>
      <c r="F7" s="5" t="n">
        <v>-0.043</v>
      </c>
      <c r="G7" s="5" t="n">
        <v>-0.052</v>
      </c>
      <c r="H7" s="5" t="n">
        <v>0.068</v>
      </c>
      <c r="I7" s="10" t="inlineStr">
        <is>
          <t>Simulated ground truth</t>
        </is>
      </c>
      <c r="J7" s="10" t="inlineStr">
        <is>
          <t>A - simulated for validation</t>
        </is>
      </c>
      <c r="K7" s="10" t="n"/>
      <c r="L7" s="10" t="n"/>
      <c r="M7" s="10" t="inlineStr">
        <is>
          <t>Median error (m)</t>
        </is>
      </c>
      <c r="N7" s="10">
        <f>IFERROR(MEDIAN(H5:H54),"")</f>
        <v/>
      </c>
      <c r="O7" s="5">
        <f>N7</f>
        <v/>
      </c>
      <c r="P7" s="10" t="inlineStr">
        <is>
          <t>Robust metric.</t>
        </is>
      </c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 ht="28.5" customHeight="1">
      <c r="A8" s="10" t="inlineStr">
        <is>
          <t>T004</t>
        </is>
      </c>
      <c r="B8" s="5" t="n">
        <v>25.5</v>
      </c>
      <c r="C8" s="5" t="n">
        <v>0</v>
      </c>
      <c r="D8" s="5" t="n">
        <v>25.457</v>
      </c>
      <c r="E8" s="5" t="n">
        <v>-0.052</v>
      </c>
      <c r="F8" s="5" t="n">
        <v>-0.043</v>
      </c>
      <c r="G8" s="5" t="n">
        <v>-0.052</v>
      </c>
      <c r="H8" s="5" t="n">
        <v>0.068</v>
      </c>
      <c r="I8" s="10" t="inlineStr">
        <is>
          <t>Simulated ground truth</t>
        </is>
      </c>
      <c r="J8" s="10" t="inlineStr">
        <is>
          <t>A - simulated for validation</t>
        </is>
      </c>
      <c r="K8" s="10" t="n"/>
      <c r="L8" s="10" t="n"/>
      <c r="M8" s="10" t="inlineStr">
        <is>
          <t>RMSE (m)</t>
        </is>
      </c>
      <c r="N8" s="10" t="n"/>
      <c r="O8" s="5">
        <f>N8</f>
        <v/>
      </c>
      <c r="P8" s="10" t="inlineStr">
        <is>
          <t>If unsupported, compute manually.</t>
        </is>
      </c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>
      <c r="A9" s="10" t="inlineStr">
        <is>
          <t>T005</t>
        </is>
      </c>
      <c r="B9" s="5" t="n">
        <v>34</v>
      </c>
      <c r="C9" s="5" t="n">
        <v>0</v>
      </c>
      <c r="D9" s="5" t="n">
        <v>33.957</v>
      </c>
      <c r="E9" s="5" t="n">
        <v>-0.052</v>
      </c>
      <c r="F9" s="5" t="n">
        <v>-0.043</v>
      </c>
      <c r="G9" s="5" t="n">
        <v>-0.052</v>
      </c>
      <c r="H9" s="5" t="n">
        <v>0.068</v>
      </c>
      <c r="I9" s="10" t="inlineStr">
        <is>
          <t>Simulated ground truth</t>
        </is>
      </c>
      <c r="J9" s="10" t="inlineStr">
        <is>
          <t>A - simulated for validation</t>
        </is>
      </c>
      <c r="K9" s="10" t="n"/>
      <c r="L9" s="10" t="n"/>
      <c r="M9" s="10" t="inlineStr">
        <is>
          <t>Max error (m)</t>
        </is>
      </c>
      <c r="N9" s="10">
        <f>IFERROR(MAX(H5:H54),"")</f>
        <v/>
      </c>
      <c r="O9" s="5">
        <f>N9</f>
        <v/>
      </c>
      <c r="P9" s="10" t="inlineStr">
        <is>
          <t>Discuss outliers.</t>
        </is>
      </c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28.5" customHeight="1">
      <c r="A10" s="10" t="inlineStr">
        <is>
          <t>T006</t>
        </is>
      </c>
      <c r="B10" s="5" t="n">
        <v>42.5</v>
      </c>
      <c r="C10" s="5" t="n">
        <v>0</v>
      </c>
      <c r="D10" s="5" t="n">
        <v>42.457</v>
      </c>
      <c r="E10" s="5" t="n">
        <v>-0.052</v>
      </c>
      <c r="F10" s="5" t="n">
        <v>-0.043</v>
      </c>
      <c r="G10" s="5" t="n">
        <v>-0.052</v>
      </c>
      <c r="H10" s="5" t="n">
        <v>0.068</v>
      </c>
      <c r="I10" s="10" t="inlineStr">
        <is>
          <t>Simulated ground truth</t>
        </is>
      </c>
      <c r="J10" s="10" t="inlineStr">
        <is>
          <t>A - simulated for validation</t>
        </is>
      </c>
      <c r="K10" s="10" t="n"/>
      <c r="L10" s="10" t="n"/>
      <c r="M10" s="10" t="inlineStr">
        <is>
          <t>% ≤ 1 m</t>
        </is>
      </c>
      <c r="N10" s="10">
        <f>IFERROR(COUNTIF(H5:H54,"&lt;=1")/COUNT(H5:H54),"")</f>
        <v/>
      </c>
      <c r="O10" s="8">
        <f>N10</f>
        <v/>
      </c>
      <c r="P10" s="10" t="inlineStr">
        <is>
          <t>Practical inventory threshold.</t>
        </is>
      </c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>
      <c r="A11" s="10" t="inlineStr">
        <is>
          <t>T007</t>
        </is>
      </c>
      <c r="B11" s="5" t="n">
        <v>51</v>
      </c>
      <c r="C11" s="5" t="n">
        <v>0</v>
      </c>
      <c r="D11" s="5" t="n">
        <v>50.957</v>
      </c>
      <c r="E11" s="5" t="n">
        <v>-0.052</v>
      </c>
      <c r="F11" s="5" t="n">
        <v>-0.043</v>
      </c>
      <c r="G11" s="5" t="n">
        <v>-0.052</v>
      </c>
      <c r="H11" s="5" t="n">
        <v>0.068</v>
      </c>
      <c r="I11" s="10" t="inlineStr">
        <is>
          <t>Simulated ground truth</t>
        </is>
      </c>
      <c r="J11" s="10" t="inlineStr">
        <is>
          <t>A - simulated for validation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>
      <c r="A12" s="10" t="inlineStr">
        <is>
          <t>T008</t>
        </is>
      </c>
      <c r="B12" s="5" t="n">
        <v>59.5</v>
      </c>
      <c r="C12" s="5" t="n">
        <v>0</v>
      </c>
      <c r="D12" s="5" t="n">
        <v>59.457</v>
      </c>
      <c r="E12" s="5" t="n">
        <v>-0.052</v>
      </c>
      <c r="F12" s="5" t="n">
        <v>-0.043</v>
      </c>
      <c r="G12" s="5" t="n">
        <v>-0.052</v>
      </c>
      <c r="H12" s="5" t="n">
        <v>0.068</v>
      </c>
      <c r="I12" s="10" t="inlineStr">
        <is>
          <t>Simulated ground truth</t>
        </is>
      </c>
      <c r="J12" s="10" t="inlineStr">
        <is>
          <t>A - simulated for validation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>
      <c r="A13" s="10" t="inlineStr">
        <is>
          <t>T009</t>
        </is>
      </c>
      <c r="B13" s="5" t="n">
        <v>68</v>
      </c>
      <c r="C13" s="5" t="n">
        <v>0</v>
      </c>
      <c r="D13" s="5" t="n">
        <v>67.95699999999999</v>
      </c>
      <c r="E13" s="5" t="n">
        <v>-0.052</v>
      </c>
      <c r="F13" s="5" t="n">
        <v>-0.043</v>
      </c>
      <c r="G13" s="5" t="n">
        <v>-0.052</v>
      </c>
      <c r="H13" s="5" t="n">
        <v>0.068</v>
      </c>
      <c r="I13" s="10" t="inlineStr">
        <is>
          <t>Simulated ground truth</t>
        </is>
      </c>
      <c r="J13" s="10" t="inlineStr">
        <is>
          <t>A - simulated for validation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>
      <c r="A14" s="10" t="inlineStr">
        <is>
          <t>T010</t>
        </is>
      </c>
      <c r="B14" s="5" t="n">
        <v>0</v>
      </c>
      <c r="C14" s="5" t="n">
        <v>9</v>
      </c>
      <c r="D14" s="5" t="n">
        <v>-0.043</v>
      </c>
      <c r="E14" s="5" t="n">
        <v>8.948</v>
      </c>
      <c r="F14" s="5" t="n">
        <v>-0.043</v>
      </c>
      <c r="G14" s="5" t="n">
        <v>-0.052</v>
      </c>
      <c r="H14" s="5" t="n">
        <v>0.068</v>
      </c>
      <c r="I14" s="10" t="inlineStr">
        <is>
          <t>Simulated ground truth</t>
        </is>
      </c>
      <c r="J14" s="10" t="inlineStr">
        <is>
          <t>A - simulated for validation</t>
        </is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>
      <c r="A15" s="10" t="inlineStr">
        <is>
          <t>T011</t>
        </is>
      </c>
      <c r="B15" s="5" t="n"/>
      <c r="C15" s="5" t="n"/>
      <c r="D15" s="5" t="n"/>
      <c r="E15" s="5" t="n"/>
      <c r="F15" s="5">
        <f>IFERROR(D15-B15,"")</f>
        <v/>
      </c>
      <c r="G15" s="5">
        <f>IFERROR(E15-C15,"")</f>
        <v/>
      </c>
      <c r="H15" s="5">
        <f>IFERROR(SQRT(F15^2+G15^2),"")</f>
        <v/>
      </c>
      <c r="I15" s="10" t="inlineStr">
        <is>
          <t>Manual/GIS/GPS</t>
        </is>
      </c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>
      <c r="A16" s="10" t="inlineStr">
        <is>
          <t>T012</t>
        </is>
      </c>
      <c r="B16" s="5" t="n"/>
      <c r="C16" s="5" t="n"/>
      <c r="D16" s="5" t="n"/>
      <c r="E16" s="5" t="n"/>
      <c r="F16" s="5">
        <f>IFERROR(D16-B16,"")</f>
        <v/>
      </c>
      <c r="G16" s="5">
        <f>IFERROR(E16-C16,"")</f>
        <v/>
      </c>
      <c r="H16" s="5">
        <f>IFERROR(SQRT(F16^2+G16^2),"")</f>
        <v/>
      </c>
      <c r="I16" s="10" t="inlineStr">
        <is>
          <t>Manual/GIS/GPS</t>
        </is>
      </c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>
      <c r="A17" s="10" t="inlineStr">
        <is>
          <t>T013</t>
        </is>
      </c>
      <c r="B17" s="5" t="n"/>
      <c r="C17" s="5" t="n"/>
      <c r="D17" s="5" t="n"/>
      <c r="E17" s="5" t="n"/>
      <c r="F17" s="5">
        <f>IFERROR(D17-B17,"")</f>
        <v/>
      </c>
      <c r="G17" s="5">
        <f>IFERROR(E17-C17,"")</f>
        <v/>
      </c>
      <c r="H17" s="5">
        <f>IFERROR(SQRT(F17^2+G17^2),"")</f>
        <v/>
      </c>
      <c r="I17" s="10" t="inlineStr">
        <is>
          <t>Manual/GIS/GPS</t>
        </is>
      </c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>
      <c r="A18" s="10" t="inlineStr">
        <is>
          <t>T014</t>
        </is>
      </c>
      <c r="B18" s="5" t="n"/>
      <c r="C18" s="5" t="n"/>
      <c r="D18" s="5" t="n"/>
      <c r="E18" s="5" t="n"/>
      <c r="F18" s="5">
        <f>IFERROR(D18-B18,"")</f>
        <v/>
      </c>
      <c r="G18" s="5">
        <f>IFERROR(E18-C18,"")</f>
        <v/>
      </c>
      <c r="H18" s="5">
        <f>IFERROR(SQRT(F18^2+G18^2),"")</f>
        <v/>
      </c>
      <c r="I18" s="10" t="inlineStr">
        <is>
          <t>Manual/GIS/GPS</t>
        </is>
      </c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>
      <c r="A19" s="10" t="inlineStr">
        <is>
          <t>T015</t>
        </is>
      </c>
      <c r="B19" s="5" t="n"/>
      <c r="C19" s="5" t="n"/>
      <c r="D19" s="5" t="n"/>
      <c r="E19" s="5" t="n"/>
      <c r="F19" s="5">
        <f>IFERROR(D19-B19,"")</f>
        <v/>
      </c>
      <c r="G19" s="5">
        <f>IFERROR(E19-C19,"")</f>
        <v/>
      </c>
      <c r="H19" s="5">
        <f>IFERROR(SQRT(F19^2+G19^2),"")</f>
        <v/>
      </c>
      <c r="I19" s="10" t="inlineStr">
        <is>
          <t>Manual/GIS/GPS</t>
        </is>
      </c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>
      <c r="A20" s="10" t="inlineStr">
        <is>
          <t>T016</t>
        </is>
      </c>
      <c r="B20" s="5" t="n"/>
      <c r="C20" s="5" t="n"/>
      <c r="D20" s="5" t="n"/>
      <c r="E20" s="5" t="n"/>
      <c r="F20" s="5">
        <f>IFERROR(D20-B20,"")</f>
        <v/>
      </c>
      <c r="G20" s="5">
        <f>IFERROR(E20-C20,"")</f>
        <v/>
      </c>
      <c r="H20" s="5">
        <f>IFERROR(SQRT(F20^2+G20^2),"")</f>
        <v/>
      </c>
      <c r="I20" s="10" t="inlineStr">
        <is>
          <t>Manual/GIS/GPS</t>
        </is>
      </c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>
      <c r="A21" s="10" t="inlineStr">
        <is>
          <t>T017</t>
        </is>
      </c>
      <c r="B21" s="5" t="n"/>
      <c r="C21" s="5" t="n"/>
      <c r="D21" s="5" t="n"/>
      <c r="E21" s="5" t="n"/>
      <c r="F21" s="5">
        <f>IFERROR(D21-B21,"")</f>
        <v/>
      </c>
      <c r="G21" s="5">
        <f>IFERROR(E21-C21,"")</f>
        <v/>
      </c>
      <c r="H21" s="5">
        <f>IFERROR(SQRT(F21^2+G21^2),"")</f>
        <v/>
      </c>
      <c r="I21" s="10" t="inlineStr">
        <is>
          <t>Manual/GIS/GPS</t>
        </is>
      </c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>
      <c r="A22" s="10" t="inlineStr">
        <is>
          <t>T018</t>
        </is>
      </c>
      <c r="B22" s="5" t="n"/>
      <c r="C22" s="5" t="n"/>
      <c r="D22" s="5" t="n"/>
      <c r="E22" s="5" t="n"/>
      <c r="F22" s="5">
        <f>IFERROR(D22-B22,"")</f>
        <v/>
      </c>
      <c r="G22" s="5">
        <f>IFERROR(E22-C22,"")</f>
        <v/>
      </c>
      <c r="H22" s="5">
        <f>IFERROR(SQRT(F22^2+G22^2),"")</f>
        <v/>
      </c>
      <c r="I22" s="10" t="inlineStr">
        <is>
          <t>Manual/GIS/GPS</t>
        </is>
      </c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>
      <c r="A23" s="10" t="inlineStr">
        <is>
          <t>T019</t>
        </is>
      </c>
      <c r="B23" s="5" t="n"/>
      <c r="C23" s="5" t="n"/>
      <c r="D23" s="5" t="n"/>
      <c r="E23" s="5" t="n"/>
      <c r="F23" s="5">
        <f>IFERROR(D23-B23,"")</f>
        <v/>
      </c>
      <c r="G23" s="5">
        <f>IFERROR(E23-C23,"")</f>
        <v/>
      </c>
      <c r="H23" s="5">
        <f>IFERROR(SQRT(F23^2+G23^2),"")</f>
        <v/>
      </c>
      <c r="I23" s="10" t="inlineStr">
        <is>
          <t>Manual/GIS/GPS</t>
        </is>
      </c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>
      <c r="A24" s="10" t="inlineStr">
        <is>
          <t>T020</t>
        </is>
      </c>
      <c r="B24" s="5" t="n"/>
      <c r="C24" s="5" t="n"/>
      <c r="D24" s="5" t="n"/>
      <c r="E24" s="5" t="n"/>
      <c r="F24" s="5">
        <f>IFERROR(D24-B24,"")</f>
        <v/>
      </c>
      <c r="G24" s="5">
        <f>IFERROR(E24-C24,"")</f>
        <v/>
      </c>
      <c r="H24" s="5">
        <f>IFERROR(SQRT(F24^2+G24^2),"")</f>
        <v/>
      </c>
      <c r="I24" s="10" t="inlineStr">
        <is>
          <t>Manual/GIS/GPS</t>
        </is>
      </c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>
      <c r="A25" s="10" t="inlineStr">
        <is>
          <t>T021</t>
        </is>
      </c>
      <c r="B25" s="5" t="n"/>
      <c r="C25" s="5" t="n"/>
      <c r="D25" s="5" t="n"/>
      <c r="E25" s="5" t="n"/>
      <c r="F25" s="5">
        <f>IFERROR(D25-B25,"")</f>
        <v/>
      </c>
      <c r="G25" s="5">
        <f>IFERROR(E25-C25,"")</f>
        <v/>
      </c>
      <c r="H25" s="5">
        <f>IFERROR(SQRT(F25^2+G25^2),"")</f>
        <v/>
      </c>
      <c r="I25" s="10" t="inlineStr">
        <is>
          <t>Manual/GIS/GPS</t>
        </is>
      </c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>
      <c r="A26" s="10" t="inlineStr">
        <is>
          <t>T022</t>
        </is>
      </c>
      <c r="B26" s="5" t="n"/>
      <c r="C26" s="5" t="n"/>
      <c r="D26" s="5" t="n"/>
      <c r="E26" s="5" t="n"/>
      <c r="F26" s="5">
        <f>IFERROR(D26-B26,"")</f>
        <v/>
      </c>
      <c r="G26" s="5">
        <f>IFERROR(E26-C26,"")</f>
        <v/>
      </c>
      <c r="H26" s="5">
        <f>IFERROR(SQRT(F26^2+G26^2),"")</f>
        <v/>
      </c>
      <c r="I26" s="10" t="inlineStr">
        <is>
          <t>Manual/GIS/GPS</t>
        </is>
      </c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>
      <c r="A27" s="10" t="inlineStr">
        <is>
          <t>T023</t>
        </is>
      </c>
      <c r="B27" s="5" t="n"/>
      <c r="C27" s="5" t="n"/>
      <c r="D27" s="5" t="n"/>
      <c r="E27" s="5" t="n"/>
      <c r="F27" s="5">
        <f>IFERROR(D27-B27,"")</f>
        <v/>
      </c>
      <c r="G27" s="5">
        <f>IFERROR(E27-C27,"")</f>
        <v/>
      </c>
      <c r="H27" s="5">
        <f>IFERROR(SQRT(F27^2+G27^2),"")</f>
        <v/>
      </c>
      <c r="I27" s="10" t="inlineStr">
        <is>
          <t>Manual/GIS/GPS</t>
        </is>
      </c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>
      <c r="A28" s="10" t="inlineStr">
        <is>
          <t>T024</t>
        </is>
      </c>
      <c r="B28" s="5" t="n"/>
      <c r="C28" s="5" t="n"/>
      <c r="D28" s="5" t="n"/>
      <c r="E28" s="5" t="n"/>
      <c r="F28" s="5">
        <f>IFERROR(D28-B28,"")</f>
        <v/>
      </c>
      <c r="G28" s="5">
        <f>IFERROR(E28-C28,"")</f>
        <v/>
      </c>
      <c r="H28" s="5">
        <f>IFERROR(SQRT(F28^2+G28^2),"")</f>
        <v/>
      </c>
      <c r="I28" s="10" t="inlineStr">
        <is>
          <t>Manual/GIS/GPS</t>
        </is>
      </c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>
      <c r="A29" s="10" t="inlineStr">
        <is>
          <t>T025</t>
        </is>
      </c>
      <c r="B29" s="5" t="n"/>
      <c r="C29" s="5" t="n"/>
      <c r="D29" s="5" t="n"/>
      <c r="E29" s="5" t="n"/>
      <c r="F29" s="5">
        <f>IFERROR(D29-B29,"")</f>
        <v/>
      </c>
      <c r="G29" s="5">
        <f>IFERROR(E29-C29,"")</f>
        <v/>
      </c>
      <c r="H29" s="5">
        <f>IFERROR(SQRT(F29^2+G29^2),"")</f>
        <v/>
      </c>
      <c r="I29" s="10" t="inlineStr">
        <is>
          <t>Manual/GIS/GPS</t>
        </is>
      </c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>
      <c r="A30" s="10" t="inlineStr">
        <is>
          <t>T026</t>
        </is>
      </c>
      <c r="B30" s="5" t="n"/>
      <c r="C30" s="5" t="n"/>
      <c r="D30" s="5" t="n"/>
      <c r="E30" s="5" t="n"/>
      <c r="F30" s="5">
        <f>IFERROR(D30-B30,"")</f>
        <v/>
      </c>
      <c r="G30" s="5">
        <f>IFERROR(E30-C30,"")</f>
        <v/>
      </c>
      <c r="H30" s="5">
        <f>IFERROR(SQRT(F30^2+G30^2),"")</f>
        <v/>
      </c>
      <c r="I30" s="10" t="inlineStr">
        <is>
          <t>Manual/GIS/GPS</t>
        </is>
      </c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>
      <c r="A31" s="10" t="inlineStr">
        <is>
          <t>T027</t>
        </is>
      </c>
      <c r="B31" s="5" t="n"/>
      <c r="C31" s="5" t="n"/>
      <c r="D31" s="5" t="n"/>
      <c r="E31" s="5" t="n"/>
      <c r="F31" s="5">
        <f>IFERROR(D31-B31,"")</f>
        <v/>
      </c>
      <c r="G31" s="5">
        <f>IFERROR(E31-C31,"")</f>
        <v/>
      </c>
      <c r="H31" s="5">
        <f>IFERROR(SQRT(F31^2+G31^2),"")</f>
        <v/>
      </c>
      <c r="I31" s="10" t="inlineStr">
        <is>
          <t>Manual/GIS/GPS</t>
        </is>
      </c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>
      <c r="A32" s="10" t="inlineStr">
        <is>
          <t>T028</t>
        </is>
      </c>
      <c r="B32" s="5" t="n"/>
      <c r="C32" s="5" t="n"/>
      <c r="D32" s="5" t="n"/>
      <c r="E32" s="5" t="n"/>
      <c r="F32" s="5">
        <f>IFERROR(D32-B32,"")</f>
        <v/>
      </c>
      <c r="G32" s="5">
        <f>IFERROR(E32-C32,"")</f>
        <v/>
      </c>
      <c r="H32" s="5">
        <f>IFERROR(SQRT(F32^2+G32^2),"")</f>
        <v/>
      </c>
      <c r="I32" s="10" t="inlineStr">
        <is>
          <t>Manual/GIS/GPS</t>
        </is>
      </c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>
      <c r="A33" s="10" t="inlineStr">
        <is>
          <t>T029</t>
        </is>
      </c>
      <c r="B33" s="5" t="n"/>
      <c r="C33" s="5" t="n"/>
      <c r="D33" s="5" t="n"/>
      <c r="E33" s="5" t="n"/>
      <c r="F33" s="5">
        <f>IFERROR(D33-B33,"")</f>
        <v/>
      </c>
      <c r="G33" s="5">
        <f>IFERROR(E33-C33,"")</f>
        <v/>
      </c>
      <c r="H33" s="5">
        <f>IFERROR(SQRT(F33^2+G33^2),"")</f>
        <v/>
      </c>
      <c r="I33" s="10" t="inlineStr">
        <is>
          <t>Manual/GIS/GPS</t>
        </is>
      </c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</row>
    <row r="34">
      <c r="A34" s="10" t="inlineStr">
        <is>
          <t>T030</t>
        </is>
      </c>
      <c r="B34" s="5" t="n"/>
      <c r="C34" s="5" t="n"/>
      <c r="D34" s="5" t="n"/>
      <c r="E34" s="5" t="n"/>
      <c r="F34" s="5">
        <f>IFERROR(D34-B34,"")</f>
        <v/>
      </c>
      <c r="G34" s="5">
        <f>IFERROR(E34-C34,"")</f>
        <v/>
      </c>
      <c r="H34" s="5">
        <f>IFERROR(SQRT(F34^2+G34^2),"")</f>
        <v/>
      </c>
      <c r="I34" s="10" t="inlineStr">
        <is>
          <t>Manual/GIS/GPS</t>
        </is>
      </c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</row>
    <row r="35">
      <c r="A35" s="10" t="inlineStr">
        <is>
          <t>T031</t>
        </is>
      </c>
      <c r="B35" s="5" t="n"/>
      <c r="C35" s="5" t="n"/>
      <c r="D35" s="5" t="n"/>
      <c r="E35" s="5" t="n"/>
      <c r="F35" s="5">
        <f>IFERROR(D35-B35,"")</f>
        <v/>
      </c>
      <c r="G35" s="5">
        <f>IFERROR(E35-C35,"")</f>
        <v/>
      </c>
      <c r="H35" s="5">
        <f>IFERROR(SQRT(F35^2+G35^2),"")</f>
        <v/>
      </c>
      <c r="I35" s="10" t="inlineStr">
        <is>
          <t>Manual/GIS/GPS</t>
        </is>
      </c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</row>
    <row r="36">
      <c r="A36" s="10" t="inlineStr">
        <is>
          <t>T032</t>
        </is>
      </c>
      <c r="B36" s="5" t="n"/>
      <c r="C36" s="5" t="n"/>
      <c r="D36" s="5" t="n"/>
      <c r="E36" s="5" t="n"/>
      <c r="F36" s="5">
        <f>IFERROR(D36-B36,"")</f>
        <v/>
      </c>
      <c r="G36" s="5">
        <f>IFERROR(E36-C36,"")</f>
        <v/>
      </c>
      <c r="H36" s="5">
        <f>IFERROR(SQRT(F36^2+G36^2),"")</f>
        <v/>
      </c>
      <c r="I36" s="10" t="inlineStr">
        <is>
          <t>Manual/GIS/GPS</t>
        </is>
      </c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>
      <c r="A37" s="10" t="inlineStr">
        <is>
          <t>T033</t>
        </is>
      </c>
      <c r="B37" s="5" t="n"/>
      <c r="C37" s="5" t="n"/>
      <c r="D37" s="5" t="n"/>
      <c r="E37" s="5" t="n"/>
      <c r="F37" s="5">
        <f>IFERROR(D37-B37,"")</f>
        <v/>
      </c>
      <c r="G37" s="5">
        <f>IFERROR(E37-C37,"")</f>
        <v/>
      </c>
      <c r="H37" s="5">
        <f>IFERROR(SQRT(F37^2+G37^2),"")</f>
        <v/>
      </c>
      <c r="I37" s="10" t="inlineStr">
        <is>
          <t>Manual/GIS/GPS</t>
        </is>
      </c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</row>
    <row r="38">
      <c r="A38" s="10" t="inlineStr">
        <is>
          <t>T034</t>
        </is>
      </c>
      <c r="B38" s="5" t="n"/>
      <c r="C38" s="5" t="n"/>
      <c r="D38" s="5" t="n"/>
      <c r="E38" s="5" t="n"/>
      <c r="F38" s="5">
        <f>IFERROR(D38-B38,"")</f>
        <v/>
      </c>
      <c r="G38" s="5">
        <f>IFERROR(E38-C38,"")</f>
        <v/>
      </c>
      <c r="H38" s="5">
        <f>IFERROR(SQRT(F38^2+G38^2),"")</f>
        <v/>
      </c>
      <c r="I38" s="10" t="inlineStr">
        <is>
          <t>Manual/GIS/GPS</t>
        </is>
      </c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>
      <c r="A39" s="10" t="inlineStr">
        <is>
          <t>T035</t>
        </is>
      </c>
      <c r="B39" s="5" t="n"/>
      <c r="C39" s="5" t="n"/>
      <c r="D39" s="5" t="n"/>
      <c r="E39" s="5" t="n"/>
      <c r="F39" s="5">
        <f>IFERROR(D39-B39,"")</f>
        <v/>
      </c>
      <c r="G39" s="5">
        <f>IFERROR(E39-C39,"")</f>
        <v/>
      </c>
      <c r="H39" s="5">
        <f>IFERROR(SQRT(F39^2+G39^2),"")</f>
        <v/>
      </c>
      <c r="I39" s="10" t="inlineStr">
        <is>
          <t>Manual/GIS/GPS</t>
        </is>
      </c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>
      <c r="A40" s="10" t="inlineStr">
        <is>
          <t>T036</t>
        </is>
      </c>
      <c r="B40" s="5" t="n"/>
      <c r="C40" s="5" t="n"/>
      <c r="D40" s="5" t="n"/>
      <c r="E40" s="5" t="n"/>
      <c r="F40" s="5">
        <f>IFERROR(D40-B40,"")</f>
        <v/>
      </c>
      <c r="G40" s="5">
        <f>IFERROR(E40-C40,"")</f>
        <v/>
      </c>
      <c r="H40" s="5">
        <f>IFERROR(SQRT(F40^2+G40^2),"")</f>
        <v/>
      </c>
      <c r="I40" s="10" t="inlineStr">
        <is>
          <t>Manual/GIS/GPS</t>
        </is>
      </c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</row>
    <row r="41">
      <c r="A41" s="10" t="inlineStr">
        <is>
          <t>T037</t>
        </is>
      </c>
      <c r="B41" s="5" t="n"/>
      <c r="C41" s="5" t="n"/>
      <c r="D41" s="5" t="n"/>
      <c r="E41" s="5" t="n"/>
      <c r="F41" s="5">
        <f>IFERROR(D41-B41,"")</f>
        <v/>
      </c>
      <c r="G41" s="5">
        <f>IFERROR(E41-C41,"")</f>
        <v/>
      </c>
      <c r="H41" s="5">
        <f>IFERROR(SQRT(F41^2+G41^2),"")</f>
        <v/>
      </c>
      <c r="I41" s="10" t="inlineStr">
        <is>
          <t>Manual/GIS/GPS</t>
        </is>
      </c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>
      <c r="A42" s="10" t="inlineStr">
        <is>
          <t>T038</t>
        </is>
      </c>
      <c r="B42" s="5" t="n"/>
      <c r="C42" s="5" t="n"/>
      <c r="D42" s="5" t="n"/>
      <c r="E42" s="5" t="n"/>
      <c r="F42" s="5">
        <f>IFERROR(D42-B42,"")</f>
        <v/>
      </c>
      <c r="G42" s="5">
        <f>IFERROR(E42-C42,"")</f>
        <v/>
      </c>
      <c r="H42" s="5">
        <f>IFERROR(SQRT(F42^2+G42^2),"")</f>
        <v/>
      </c>
      <c r="I42" s="10" t="inlineStr">
        <is>
          <t>Manual/GIS/GPS</t>
        </is>
      </c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>
      <c r="A43" s="10" t="inlineStr">
        <is>
          <t>T039</t>
        </is>
      </c>
      <c r="B43" s="5" t="n"/>
      <c r="C43" s="5" t="n"/>
      <c r="D43" s="5" t="n"/>
      <c r="E43" s="5" t="n"/>
      <c r="F43" s="5">
        <f>IFERROR(D43-B43,"")</f>
        <v/>
      </c>
      <c r="G43" s="5">
        <f>IFERROR(E43-C43,"")</f>
        <v/>
      </c>
      <c r="H43" s="5">
        <f>IFERROR(SQRT(F43^2+G43^2),"")</f>
        <v/>
      </c>
      <c r="I43" s="10" t="inlineStr">
        <is>
          <t>Manual/GIS/GPS</t>
        </is>
      </c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</row>
    <row r="44">
      <c r="A44" s="10" t="inlineStr">
        <is>
          <t>T040</t>
        </is>
      </c>
      <c r="B44" s="5" t="n"/>
      <c r="C44" s="5" t="n"/>
      <c r="D44" s="5" t="n"/>
      <c r="E44" s="5" t="n"/>
      <c r="F44" s="5">
        <f>IFERROR(D44-B44,"")</f>
        <v/>
      </c>
      <c r="G44" s="5">
        <f>IFERROR(E44-C44,"")</f>
        <v/>
      </c>
      <c r="H44" s="5">
        <f>IFERROR(SQRT(F44^2+G44^2),"")</f>
        <v/>
      </c>
      <c r="I44" s="10" t="inlineStr">
        <is>
          <t>Manual/GIS/GPS</t>
        </is>
      </c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</row>
    <row r="45">
      <c r="A45" s="10" t="inlineStr">
        <is>
          <t>T041</t>
        </is>
      </c>
      <c r="B45" s="5" t="n"/>
      <c r="C45" s="5" t="n"/>
      <c r="D45" s="5" t="n"/>
      <c r="E45" s="5" t="n"/>
      <c r="F45" s="5">
        <f>IFERROR(D45-B45,"")</f>
        <v/>
      </c>
      <c r="G45" s="5">
        <f>IFERROR(E45-C45,"")</f>
        <v/>
      </c>
      <c r="H45" s="5">
        <f>IFERROR(SQRT(F45^2+G45^2),"")</f>
        <v/>
      </c>
      <c r="I45" s="10" t="inlineStr">
        <is>
          <t>Manual/GIS/GPS</t>
        </is>
      </c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</row>
    <row r="46">
      <c r="A46" s="10" t="inlineStr">
        <is>
          <t>T042</t>
        </is>
      </c>
      <c r="B46" s="5" t="n"/>
      <c r="C46" s="5" t="n"/>
      <c r="D46" s="5" t="n"/>
      <c r="E46" s="5" t="n"/>
      <c r="F46" s="5">
        <f>IFERROR(D46-B46,"")</f>
        <v/>
      </c>
      <c r="G46" s="5">
        <f>IFERROR(E46-C46,"")</f>
        <v/>
      </c>
      <c r="H46" s="5">
        <f>IFERROR(SQRT(F46^2+G46^2),"")</f>
        <v/>
      </c>
      <c r="I46" s="10" t="inlineStr">
        <is>
          <t>Manual/GIS/GPS</t>
        </is>
      </c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>
      <c r="A47" s="10" t="inlineStr">
        <is>
          <t>T043</t>
        </is>
      </c>
      <c r="B47" s="5" t="n"/>
      <c r="C47" s="5" t="n"/>
      <c r="D47" s="5" t="n"/>
      <c r="E47" s="5" t="n"/>
      <c r="F47" s="5">
        <f>IFERROR(D47-B47,"")</f>
        <v/>
      </c>
      <c r="G47" s="5">
        <f>IFERROR(E47-C47,"")</f>
        <v/>
      </c>
      <c r="H47" s="5">
        <f>IFERROR(SQRT(F47^2+G47^2),"")</f>
        <v/>
      </c>
      <c r="I47" s="10" t="inlineStr">
        <is>
          <t>Manual/GIS/GPS</t>
        </is>
      </c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</row>
    <row r="48">
      <c r="A48" s="10" t="inlineStr">
        <is>
          <t>T044</t>
        </is>
      </c>
      <c r="B48" s="5" t="n"/>
      <c r="C48" s="5" t="n"/>
      <c r="D48" s="5" t="n"/>
      <c r="E48" s="5" t="n"/>
      <c r="F48" s="5">
        <f>IFERROR(D48-B48,"")</f>
        <v/>
      </c>
      <c r="G48" s="5">
        <f>IFERROR(E48-C48,"")</f>
        <v/>
      </c>
      <c r="H48" s="5">
        <f>IFERROR(SQRT(F48^2+G48^2),"")</f>
        <v/>
      </c>
      <c r="I48" s="10" t="inlineStr">
        <is>
          <t>Manual/GIS/GPS</t>
        </is>
      </c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</row>
    <row r="49">
      <c r="A49" s="10" t="inlineStr">
        <is>
          <t>T045</t>
        </is>
      </c>
      <c r="B49" s="5" t="n"/>
      <c r="C49" s="5" t="n"/>
      <c r="D49" s="5" t="n"/>
      <c r="E49" s="5" t="n"/>
      <c r="F49" s="5">
        <f>IFERROR(D49-B49,"")</f>
        <v/>
      </c>
      <c r="G49" s="5">
        <f>IFERROR(E49-C49,"")</f>
        <v/>
      </c>
      <c r="H49" s="5">
        <f>IFERROR(SQRT(F49^2+G49^2),"")</f>
        <v/>
      </c>
      <c r="I49" s="10" t="inlineStr">
        <is>
          <t>Manual/GIS/GPS</t>
        </is>
      </c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>
      <c r="A50" s="10" t="inlineStr">
        <is>
          <t>T046</t>
        </is>
      </c>
      <c r="B50" s="5" t="n"/>
      <c r="C50" s="5" t="n"/>
      <c r="D50" s="5" t="n"/>
      <c r="E50" s="5" t="n"/>
      <c r="F50" s="5">
        <f>IFERROR(D50-B50,"")</f>
        <v/>
      </c>
      <c r="G50" s="5">
        <f>IFERROR(E50-C50,"")</f>
        <v/>
      </c>
      <c r="H50" s="5">
        <f>IFERROR(SQRT(F50^2+G50^2),"")</f>
        <v/>
      </c>
      <c r="I50" s="10" t="inlineStr">
        <is>
          <t>Manual/GIS/GPS</t>
        </is>
      </c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</row>
    <row r="51">
      <c r="A51" s="10" t="inlineStr">
        <is>
          <t>T047</t>
        </is>
      </c>
      <c r="B51" s="5" t="n"/>
      <c r="C51" s="5" t="n"/>
      <c r="D51" s="5" t="n"/>
      <c r="E51" s="5" t="n"/>
      <c r="F51" s="5">
        <f>IFERROR(D51-B51,"")</f>
        <v/>
      </c>
      <c r="G51" s="5">
        <f>IFERROR(E51-C51,"")</f>
        <v/>
      </c>
      <c r="H51" s="5">
        <f>IFERROR(SQRT(F51^2+G51^2),"")</f>
        <v/>
      </c>
      <c r="I51" s="10" t="inlineStr">
        <is>
          <t>Manual/GIS/GPS</t>
        </is>
      </c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</row>
    <row r="52">
      <c r="A52" s="10" t="inlineStr">
        <is>
          <t>T048</t>
        </is>
      </c>
      <c r="B52" s="5" t="n"/>
      <c r="C52" s="5" t="n"/>
      <c r="D52" s="5" t="n"/>
      <c r="E52" s="5" t="n"/>
      <c r="F52" s="5">
        <f>IFERROR(D52-B52,"")</f>
        <v/>
      </c>
      <c r="G52" s="5">
        <f>IFERROR(E52-C52,"")</f>
        <v/>
      </c>
      <c r="H52" s="5">
        <f>IFERROR(SQRT(F52^2+G52^2),"")</f>
        <v/>
      </c>
      <c r="I52" s="10" t="inlineStr">
        <is>
          <t>Manual/GIS/GPS</t>
        </is>
      </c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</row>
    <row r="53">
      <c r="A53" s="10" t="inlineStr">
        <is>
          <t>T049</t>
        </is>
      </c>
      <c r="B53" s="5" t="n"/>
      <c r="C53" s="5" t="n"/>
      <c r="D53" s="5" t="n"/>
      <c r="E53" s="5" t="n"/>
      <c r="F53" s="5">
        <f>IFERROR(D53-B53,"")</f>
        <v/>
      </c>
      <c r="G53" s="5">
        <f>IFERROR(E53-C53,"")</f>
        <v/>
      </c>
      <c r="H53" s="5">
        <f>IFERROR(SQRT(F53^2+G53^2),"")</f>
        <v/>
      </c>
      <c r="I53" s="10" t="inlineStr">
        <is>
          <t>Manual/GIS/GPS</t>
        </is>
      </c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>
      <c r="A54" s="10" t="inlineStr">
        <is>
          <t>T050</t>
        </is>
      </c>
      <c r="B54" s="5" t="n"/>
      <c r="C54" s="5" t="n"/>
      <c r="D54" s="5" t="n"/>
      <c r="E54" s="5" t="n"/>
      <c r="F54" s="5">
        <f>IFERROR(D54-B54,"")</f>
        <v/>
      </c>
      <c r="G54" s="5">
        <f>IFERROR(E54-C54,"")</f>
        <v/>
      </c>
      <c r="H54" s="5">
        <f>IFERROR(SQRT(F54^2+G54^2),"")</f>
        <v/>
      </c>
      <c r="I54" s="10" t="inlineStr">
        <is>
          <t>Manual/GIS/GPS</t>
        </is>
      </c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</row>
  </sheetData>
  <mergeCells count="2">
    <mergeCell ref="A1:J1"/>
    <mergeCell ref="A2:J2"/>
  </mergeCells>
  <dataValidations count="1">
    <dataValidation sqref="J5:J54" showDropDown="0" showInputMessage="0" showErrorMessage="0" allowBlank="0" type="list">
      <formula1>"High,Medium,Low,Exclude"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:J1"/>
    </sheetView>
  </sheetViews>
  <sheetFormatPr baseColWidth="8" defaultRowHeight="14.25"/>
  <cols>
    <col width="10" customWidth="1" min="1" max="1"/>
    <col width="14" customWidth="1" min="2" max="2"/>
    <col width="12" customWidth="1" min="3" max="6"/>
    <col width="20" customWidth="1" min="7" max="7"/>
    <col width="14" customWidth="1" min="8" max="8"/>
    <col width="16" customWidth="1" min="9" max="9"/>
    <col width="14" customWidth="1" min="10" max="10"/>
    <col width="12" customWidth="1" min="11" max="12"/>
    <col width="14" customWidth="1" min="13" max="13"/>
    <col width="28" customWidth="1" min="14" max="16"/>
    <col width="14" customWidth="1" min="17" max="17"/>
    <col width="35" customWidth="1" min="18" max="18"/>
  </cols>
  <sheetData>
    <row r="1" ht="172.9" customHeight="1">
      <c r="A1" s="9" t="inlineStr">
        <is>
          <t>Experiment E4 — End-to-End Pipeline and Runtime</t>
        </is>
      </c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 ht="72" customHeight="1">
      <c r="A2" s="11" t="inlineStr">
        <is>
          <t>Run the full pipeline and record counts, times, and artifact paths.</t>
        </is>
      </c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 ht="15" customHeight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</row>
    <row r="4" ht="26.45" customHeight="1">
      <c r="A4" s="1" t="inlineStr">
        <is>
          <t>Run_ID</t>
        </is>
      </c>
      <c r="B4" s="1" t="inlineStr">
        <is>
          <t>Mission_ID</t>
        </is>
      </c>
      <c r="C4" s="1" t="inlineStr">
        <is>
          <t>Input Images</t>
        </is>
      </c>
      <c r="D4" s="1" t="inlineStr">
        <is>
          <t>Detections</t>
        </is>
      </c>
      <c r="E4" s="1" t="inlineStr">
        <is>
          <t>Unique Trees</t>
        </is>
      </c>
      <c r="F4" s="1" t="inlineStr">
        <is>
          <t>DB Records</t>
        </is>
      </c>
      <c r="G4" s="1" t="inlineStr">
        <is>
          <t>Duplicate Records Avoided</t>
        </is>
      </c>
      <c r="H4" s="1" t="inlineStr">
        <is>
          <t>Detection Time s</t>
        </is>
      </c>
      <c r="I4" s="1" t="inlineStr">
        <is>
          <t>Association Time s</t>
        </is>
      </c>
      <c r="J4" s="1" t="inlineStr">
        <is>
          <t>DB Write Time s</t>
        </is>
      </c>
      <c r="K4" s="1" t="inlineStr">
        <is>
          <t>Export Time s</t>
        </is>
      </c>
      <c r="L4" s="1" t="inlineStr">
        <is>
          <t>Total Time s</t>
        </is>
      </c>
      <c r="M4" s="1" t="inlineStr">
        <is>
          <t>Throughput img/s</t>
        </is>
      </c>
      <c r="N4" s="1" t="inlineStr">
        <is>
          <t>GeoJSON Path</t>
        </is>
      </c>
      <c r="O4" s="1" t="inlineStr">
        <is>
          <t>SQLite DB Path</t>
        </is>
      </c>
      <c r="P4" s="1" t="inlineStr">
        <is>
          <t>Dashboard Screenshot</t>
        </is>
      </c>
      <c r="Q4" s="1" t="inlineStr">
        <is>
          <t>Status</t>
        </is>
      </c>
      <c r="R4" s="1" t="inlineStr">
        <is>
          <t>Notes</t>
        </is>
      </c>
      <c r="S4" s="10" t="n"/>
      <c r="T4" s="10" t="n"/>
      <c r="U4" s="10" t="n"/>
      <c r="V4" s="10" t="n"/>
      <c r="W4" s="10" t="n"/>
      <c r="X4" s="10" t="n"/>
      <c r="Y4" s="10" t="n"/>
      <c r="Z4" s="10" t="n"/>
    </row>
    <row r="5" ht="15" customHeight="1">
      <c r="A5" s="10" t="inlineStr">
        <is>
          <t>R01</t>
        </is>
      </c>
      <c r="B5" s="10" t="n">
        <v>9</v>
      </c>
      <c r="C5" s="10" t="n">
        <v>24</v>
      </c>
      <c r="D5" s="10" t="n">
        <v>24</v>
      </c>
      <c r="E5" s="10" t="n">
        <v>5</v>
      </c>
      <c r="F5" s="10" t="n">
        <v>24</v>
      </c>
      <c r="G5" s="10" t="n">
        <v>19</v>
      </c>
      <c r="H5" s="7" t="n">
        <v>0.48</v>
      </c>
      <c r="I5" s="7" t="n">
        <v>0.14</v>
      </c>
      <c r="J5" s="7" t="n">
        <v>0</v>
      </c>
      <c r="K5" s="7" t="n">
        <v>0.1</v>
      </c>
      <c r="L5" s="7" t="n">
        <v>0.72</v>
      </c>
      <c r="M5" s="7" t="n">
        <v>33.39</v>
      </c>
      <c r="N5" s="10" t="inlineStr">
        <is>
          <t>output/palm_trees.geojson</t>
        </is>
      </c>
      <c r="O5" s="10" t="inlineStr">
        <is>
          <t>data/palms.db</t>
        </is>
      </c>
      <c r="P5" s="10" t="n"/>
      <c r="Q5" s="10" t="inlineStr">
        <is>
          <t>Completed</t>
        </is>
      </c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</row>
    <row r="6" ht="15" customHeight="1">
      <c r="A6" s="10" t="inlineStr">
        <is>
          <t>R02</t>
        </is>
      </c>
      <c r="B6" s="10" t="n"/>
      <c r="C6" s="10" t="n"/>
      <c r="D6" s="10" t="n"/>
      <c r="E6" s="10" t="n"/>
      <c r="F6" s="10" t="n"/>
      <c r="G6" s="10" t="n"/>
      <c r="H6" s="7" t="n"/>
      <c r="I6" s="7" t="n"/>
      <c r="J6" s="7" t="n"/>
      <c r="K6" s="7" t="n"/>
      <c r="L6" s="7">
        <f>IFERROR(SUM(H6:K6),"")</f>
        <v/>
      </c>
      <c r="M6" s="7">
        <f>IFERROR(C6/L6,"")</f>
        <v/>
      </c>
      <c r="N6" s="10" t="n"/>
      <c r="O6" s="10" t="n"/>
      <c r="P6" s="10" t="n"/>
      <c r="Q6" s="10" t="inlineStr">
        <is>
          <t>Not Started</t>
        </is>
      </c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15" customHeight="1">
      <c r="A7" s="10" t="inlineStr">
        <is>
          <t>R03</t>
        </is>
      </c>
      <c r="B7" s="10" t="n"/>
      <c r="C7" s="10" t="n"/>
      <c r="D7" s="10" t="n"/>
      <c r="E7" s="10" t="n"/>
      <c r="F7" s="10" t="n"/>
      <c r="G7" s="10" t="n"/>
      <c r="H7" s="7" t="n"/>
      <c r="I7" s="7" t="n"/>
      <c r="J7" s="7" t="n"/>
      <c r="K7" s="7" t="n"/>
      <c r="L7" s="7">
        <f>IFERROR(SUM(H7:K7),"")</f>
        <v/>
      </c>
      <c r="M7" s="7">
        <f>IFERROR(C7/L7,"")</f>
        <v/>
      </c>
      <c r="N7" s="10" t="n"/>
      <c r="O7" s="10" t="n"/>
      <c r="P7" s="10" t="n"/>
      <c r="Q7" s="10" t="inlineStr">
        <is>
          <t>Not Started</t>
        </is>
      </c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 ht="15" customHeight="1">
      <c r="A8" s="10" t="inlineStr">
        <is>
          <t>R04</t>
        </is>
      </c>
      <c r="B8" s="10" t="n"/>
      <c r="C8" s="10" t="n"/>
      <c r="D8" s="10" t="n"/>
      <c r="E8" s="10" t="n"/>
      <c r="F8" s="10" t="n"/>
      <c r="G8" s="10" t="n"/>
      <c r="H8" s="7" t="n"/>
      <c r="I8" s="7" t="n"/>
      <c r="J8" s="7" t="n"/>
      <c r="K8" s="7" t="n"/>
      <c r="L8" s="7">
        <f>IFERROR(SUM(H8:K8),"")</f>
        <v/>
      </c>
      <c r="M8" s="7">
        <f>IFERROR(C8/L8,"")</f>
        <v/>
      </c>
      <c r="N8" s="10" t="n"/>
      <c r="O8" s="10" t="n"/>
      <c r="P8" s="10" t="n"/>
      <c r="Q8" s="10" t="inlineStr">
        <is>
          <t>Not Started</t>
        </is>
      </c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5" customHeight="1">
      <c r="A9" s="10" t="inlineStr">
        <is>
          <t>R05</t>
        </is>
      </c>
      <c r="B9" s="10" t="n"/>
      <c r="C9" s="10" t="n"/>
      <c r="D9" s="10" t="n"/>
      <c r="E9" s="10" t="n"/>
      <c r="F9" s="10" t="n"/>
      <c r="G9" s="10" t="n"/>
      <c r="H9" s="7" t="n"/>
      <c r="I9" s="7" t="n"/>
      <c r="J9" s="7" t="n"/>
      <c r="K9" s="7" t="n"/>
      <c r="L9" s="7">
        <f>IFERROR(SUM(H9:K9),"")</f>
        <v/>
      </c>
      <c r="M9" s="7">
        <f>IFERROR(C9/L9,"")</f>
        <v/>
      </c>
      <c r="N9" s="10" t="n"/>
      <c r="O9" s="10" t="n"/>
      <c r="P9" s="10" t="n"/>
      <c r="Q9" s="10" t="inlineStr">
        <is>
          <t>Not Started</t>
        </is>
      </c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15" customHeight="1">
      <c r="A10" s="10" t="inlineStr">
        <is>
          <t>R06</t>
        </is>
      </c>
      <c r="B10" s="10" t="n"/>
      <c r="C10" s="10" t="n"/>
      <c r="D10" s="10" t="n"/>
      <c r="E10" s="10" t="n"/>
      <c r="F10" s="10" t="n"/>
      <c r="G10" s="10" t="n"/>
      <c r="H10" s="7" t="n"/>
      <c r="I10" s="7" t="n"/>
      <c r="J10" s="7" t="n"/>
      <c r="K10" s="7" t="n"/>
      <c r="L10" s="7">
        <f>IFERROR(SUM(H10:K10),"")</f>
        <v/>
      </c>
      <c r="M10" s="7">
        <f>IFERROR(C10/L10,"")</f>
        <v/>
      </c>
      <c r="N10" s="10" t="n"/>
      <c r="O10" s="10" t="n"/>
      <c r="P10" s="10" t="n"/>
      <c r="Q10" s="10" t="inlineStr">
        <is>
          <t>Not Started</t>
        </is>
      </c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 ht="15" customHeight="1">
      <c r="A11" s="10" t="inlineStr">
        <is>
          <t>R07</t>
        </is>
      </c>
      <c r="B11" s="10" t="n"/>
      <c r="C11" s="10" t="n"/>
      <c r="D11" s="10" t="n"/>
      <c r="E11" s="10" t="n"/>
      <c r="F11" s="10" t="n"/>
      <c r="G11" s="10" t="n"/>
      <c r="H11" s="7" t="n"/>
      <c r="I11" s="7" t="n"/>
      <c r="J11" s="7" t="n"/>
      <c r="K11" s="7" t="n"/>
      <c r="L11" s="7">
        <f>IFERROR(SUM(H11:K11),"")</f>
        <v/>
      </c>
      <c r="M11" s="7">
        <f>IFERROR(C11/L11,"")</f>
        <v/>
      </c>
      <c r="N11" s="10" t="n"/>
      <c r="O11" s="10" t="n"/>
      <c r="P11" s="10" t="n"/>
      <c r="Q11" s="10" t="inlineStr">
        <is>
          <t>Not Started</t>
        </is>
      </c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 ht="15" customHeight="1">
      <c r="A12" s="10" t="inlineStr">
        <is>
          <t>R08</t>
        </is>
      </c>
      <c r="B12" s="10" t="n"/>
      <c r="C12" s="10" t="n"/>
      <c r="D12" s="10" t="n"/>
      <c r="E12" s="10" t="n"/>
      <c r="F12" s="10" t="n"/>
      <c r="G12" s="10" t="n"/>
      <c r="H12" s="7" t="n"/>
      <c r="I12" s="7" t="n"/>
      <c r="J12" s="7" t="n"/>
      <c r="K12" s="7" t="n"/>
      <c r="L12" s="7">
        <f>IFERROR(SUM(H12:K12),"")</f>
        <v/>
      </c>
      <c r="M12" s="7">
        <f>IFERROR(C12/L12,"")</f>
        <v/>
      </c>
      <c r="N12" s="10" t="n"/>
      <c r="O12" s="10" t="n"/>
      <c r="P12" s="10" t="n"/>
      <c r="Q12" s="10" t="inlineStr">
        <is>
          <t>Not Started</t>
        </is>
      </c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15" customHeight="1">
      <c r="A13" s="10" t="inlineStr">
        <is>
          <t>R09</t>
        </is>
      </c>
      <c r="B13" s="10" t="n"/>
      <c r="C13" s="10" t="n"/>
      <c r="D13" s="10" t="n"/>
      <c r="E13" s="10" t="n"/>
      <c r="F13" s="10" t="n"/>
      <c r="G13" s="10" t="n"/>
      <c r="H13" s="7" t="n"/>
      <c r="I13" s="7" t="n"/>
      <c r="J13" s="7" t="n"/>
      <c r="K13" s="7" t="n"/>
      <c r="L13" s="7">
        <f>IFERROR(SUM(H13:K13),"")</f>
        <v/>
      </c>
      <c r="M13" s="7">
        <f>IFERROR(C13/L13,"")</f>
        <v/>
      </c>
      <c r="N13" s="10" t="n"/>
      <c r="O13" s="10" t="n"/>
      <c r="P13" s="10" t="n"/>
      <c r="Q13" s="10" t="inlineStr">
        <is>
          <t>Not Started</t>
        </is>
      </c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 ht="15" customHeight="1">
      <c r="A14" s="10" t="inlineStr">
        <is>
          <t>R10</t>
        </is>
      </c>
      <c r="B14" s="10" t="n"/>
      <c r="C14" s="10" t="n"/>
      <c r="D14" s="10" t="n"/>
      <c r="E14" s="10" t="n"/>
      <c r="F14" s="10" t="n"/>
      <c r="G14" s="10" t="n"/>
      <c r="H14" s="7" t="n"/>
      <c r="I14" s="7" t="n"/>
      <c r="J14" s="7" t="n"/>
      <c r="K14" s="7" t="n"/>
      <c r="L14" s="7">
        <f>IFERROR(SUM(H14:K14),"")</f>
        <v/>
      </c>
      <c r="M14" s="7">
        <f>IFERROR(C14/L14,"")</f>
        <v/>
      </c>
      <c r="N14" s="10" t="n"/>
      <c r="O14" s="10" t="n"/>
      <c r="P14" s="10" t="n"/>
      <c r="Q14" s="10" t="inlineStr">
        <is>
          <t>Not Started</t>
        </is>
      </c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 ht="15" customHeight="1">
      <c r="A15" s="10" t="inlineStr">
        <is>
          <t>R11</t>
        </is>
      </c>
      <c r="B15" s="10" t="n"/>
      <c r="C15" s="10" t="n"/>
      <c r="D15" s="10" t="n"/>
      <c r="E15" s="10" t="n"/>
      <c r="F15" s="10" t="n"/>
      <c r="G15" s="10" t="n"/>
      <c r="H15" s="7" t="n"/>
      <c r="I15" s="7" t="n"/>
      <c r="J15" s="7" t="n"/>
      <c r="K15" s="7" t="n"/>
      <c r="L15" s="7">
        <f>IFERROR(SUM(H15:K15),"")</f>
        <v/>
      </c>
      <c r="M15" s="7">
        <f>IFERROR(C15/L15,"")</f>
        <v/>
      </c>
      <c r="N15" s="10" t="n"/>
      <c r="O15" s="10" t="n"/>
      <c r="P15" s="10" t="n"/>
      <c r="Q15" s="10" t="inlineStr">
        <is>
          <t>Not Started</t>
        </is>
      </c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15" customHeight="1">
      <c r="A16" s="10" t="inlineStr">
        <is>
          <t>R12</t>
        </is>
      </c>
      <c r="B16" s="10" t="n"/>
      <c r="C16" s="10" t="n"/>
      <c r="D16" s="10" t="n"/>
      <c r="E16" s="10" t="n"/>
      <c r="F16" s="10" t="n"/>
      <c r="G16" s="10" t="n"/>
      <c r="H16" s="7" t="n"/>
      <c r="I16" s="7" t="n"/>
      <c r="J16" s="7" t="n"/>
      <c r="K16" s="7" t="n"/>
      <c r="L16" s="7">
        <f>IFERROR(SUM(H16:K16),"")</f>
        <v/>
      </c>
      <c r="M16" s="7">
        <f>IFERROR(C16/L16,"")</f>
        <v/>
      </c>
      <c r="N16" s="10" t="n"/>
      <c r="O16" s="10" t="n"/>
      <c r="P16" s="10" t="n"/>
      <c r="Q16" s="10" t="inlineStr">
        <is>
          <t>Not Started</t>
        </is>
      </c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 ht="15" customHeight="1">
      <c r="A17" s="10" t="inlineStr">
        <is>
          <t>R13</t>
        </is>
      </c>
      <c r="B17" s="10" t="n"/>
      <c r="C17" s="10" t="n"/>
      <c r="D17" s="10" t="n"/>
      <c r="E17" s="10" t="n"/>
      <c r="F17" s="10" t="n"/>
      <c r="G17" s="10" t="n"/>
      <c r="H17" s="7" t="n"/>
      <c r="I17" s="7" t="n"/>
      <c r="J17" s="7" t="n"/>
      <c r="K17" s="7" t="n"/>
      <c r="L17" s="7">
        <f>IFERROR(SUM(H17:K17),"")</f>
        <v/>
      </c>
      <c r="M17" s="7">
        <f>IFERROR(C17/L17,"")</f>
        <v/>
      </c>
      <c r="N17" s="10" t="n"/>
      <c r="O17" s="10" t="n"/>
      <c r="P17" s="10" t="n"/>
      <c r="Q17" s="10" t="inlineStr">
        <is>
          <t>Not Started</t>
        </is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5" customHeight="1">
      <c r="A18" s="10" t="inlineStr">
        <is>
          <t>R14</t>
        </is>
      </c>
      <c r="B18" s="10" t="n"/>
      <c r="C18" s="10" t="n"/>
      <c r="D18" s="10" t="n"/>
      <c r="E18" s="10" t="n"/>
      <c r="F18" s="10" t="n"/>
      <c r="G18" s="10" t="n"/>
      <c r="H18" s="7" t="n"/>
      <c r="I18" s="7" t="n"/>
      <c r="J18" s="7" t="n"/>
      <c r="K18" s="7" t="n"/>
      <c r="L18" s="7">
        <f>IFERROR(SUM(H18:K18),"")</f>
        <v/>
      </c>
      <c r="M18" s="7">
        <f>IFERROR(C18/L18,"")</f>
        <v/>
      </c>
      <c r="N18" s="10" t="n"/>
      <c r="O18" s="10" t="n"/>
      <c r="P18" s="10" t="n"/>
      <c r="Q18" s="10" t="inlineStr">
        <is>
          <t>Not Started</t>
        </is>
      </c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5" customHeight="1">
      <c r="A19" s="10" t="inlineStr">
        <is>
          <t>R15</t>
        </is>
      </c>
      <c r="B19" s="10" t="n"/>
      <c r="C19" s="10" t="n"/>
      <c r="D19" s="10" t="n"/>
      <c r="E19" s="10" t="n"/>
      <c r="F19" s="10" t="n"/>
      <c r="G19" s="10" t="n"/>
      <c r="H19" s="7" t="n"/>
      <c r="I19" s="7" t="n"/>
      <c r="J19" s="7" t="n"/>
      <c r="K19" s="7" t="n"/>
      <c r="L19" s="7">
        <f>IFERROR(SUM(H19:K19),"")</f>
        <v/>
      </c>
      <c r="M19" s="7">
        <f>IFERROR(C19/L19,"")</f>
        <v/>
      </c>
      <c r="N19" s="10" t="n"/>
      <c r="O19" s="10" t="n"/>
      <c r="P19" s="10" t="n"/>
      <c r="Q19" s="10" t="inlineStr">
        <is>
          <t>Not Started</t>
        </is>
      </c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 ht="15" customHeight="1">
      <c r="A20" s="10" t="inlineStr">
        <is>
          <t>R16</t>
        </is>
      </c>
      <c r="B20" s="10" t="n"/>
      <c r="C20" s="10" t="n"/>
      <c r="D20" s="10" t="n"/>
      <c r="E20" s="10" t="n"/>
      <c r="F20" s="10" t="n"/>
      <c r="G20" s="10" t="n"/>
      <c r="H20" s="7" t="n"/>
      <c r="I20" s="7" t="n"/>
      <c r="J20" s="7" t="n"/>
      <c r="K20" s="7" t="n"/>
      <c r="L20" s="7">
        <f>IFERROR(SUM(H20:K20),"")</f>
        <v/>
      </c>
      <c r="M20" s="7">
        <f>IFERROR(C20/L20,"")</f>
        <v/>
      </c>
      <c r="N20" s="10" t="n"/>
      <c r="O20" s="10" t="n"/>
      <c r="P20" s="10" t="n"/>
      <c r="Q20" s="10" t="inlineStr">
        <is>
          <t>Not Started</t>
        </is>
      </c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5" customHeight="1">
      <c r="A21" s="10" t="inlineStr">
        <is>
          <t>R17</t>
        </is>
      </c>
      <c r="B21" s="10" t="n"/>
      <c r="C21" s="10" t="n"/>
      <c r="D21" s="10" t="n"/>
      <c r="E21" s="10" t="n"/>
      <c r="F21" s="10" t="n"/>
      <c r="G21" s="10" t="n"/>
      <c r="H21" s="7" t="n"/>
      <c r="I21" s="7" t="n"/>
      <c r="J21" s="7" t="n"/>
      <c r="K21" s="7" t="n"/>
      <c r="L21" s="7">
        <f>IFERROR(SUM(H21:K21),"")</f>
        <v/>
      </c>
      <c r="M21" s="7">
        <f>IFERROR(C21/L21,"")</f>
        <v/>
      </c>
      <c r="N21" s="10" t="n"/>
      <c r="O21" s="10" t="n"/>
      <c r="P21" s="10" t="n"/>
      <c r="Q21" s="10" t="inlineStr">
        <is>
          <t>Not Started</t>
        </is>
      </c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 ht="15" customHeight="1">
      <c r="A22" s="10" t="inlineStr">
        <is>
          <t>R18</t>
        </is>
      </c>
      <c r="B22" s="10" t="n"/>
      <c r="C22" s="10" t="n"/>
      <c r="D22" s="10" t="n"/>
      <c r="E22" s="10" t="n"/>
      <c r="F22" s="10" t="n"/>
      <c r="G22" s="10" t="n"/>
      <c r="H22" s="7" t="n"/>
      <c r="I22" s="7" t="n"/>
      <c r="J22" s="7" t="n"/>
      <c r="K22" s="7" t="n"/>
      <c r="L22" s="7">
        <f>IFERROR(SUM(H22:K22),"")</f>
        <v/>
      </c>
      <c r="M22" s="7">
        <f>IFERROR(C22/L22,"")</f>
        <v/>
      </c>
      <c r="N22" s="10" t="n"/>
      <c r="O22" s="10" t="n"/>
      <c r="P22" s="10" t="n"/>
      <c r="Q22" s="10" t="inlineStr">
        <is>
          <t>Not Started</t>
        </is>
      </c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 ht="15" customHeight="1">
      <c r="A23" s="10" t="inlineStr">
        <is>
          <t>R19</t>
        </is>
      </c>
      <c r="B23" s="10" t="n"/>
      <c r="C23" s="10" t="n"/>
      <c r="D23" s="10" t="n"/>
      <c r="E23" s="10" t="n"/>
      <c r="F23" s="10" t="n"/>
      <c r="G23" s="10" t="n"/>
      <c r="H23" s="7" t="n"/>
      <c r="I23" s="7" t="n"/>
      <c r="J23" s="7" t="n"/>
      <c r="K23" s="7" t="n"/>
      <c r="L23" s="7">
        <f>IFERROR(SUM(H23:K23),"")</f>
        <v/>
      </c>
      <c r="M23" s="7">
        <f>IFERROR(C23/L23,"")</f>
        <v/>
      </c>
      <c r="N23" s="10" t="n"/>
      <c r="O23" s="10" t="n"/>
      <c r="P23" s="10" t="n"/>
      <c r="Q23" s="10" t="inlineStr">
        <is>
          <t>Not Started</t>
        </is>
      </c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 ht="15" customHeight="1">
      <c r="A24" s="10" t="inlineStr">
        <is>
          <t>R20</t>
        </is>
      </c>
      <c r="B24" s="10" t="n"/>
      <c r="C24" s="10" t="n"/>
      <c r="D24" s="10" t="n"/>
      <c r="E24" s="10" t="n"/>
      <c r="F24" s="10" t="n"/>
      <c r="G24" s="10" t="n"/>
      <c r="H24" s="7" t="n"/>
      <c r="I24" s="7" t="n"/>
      <c r="J24" s="7" t="n"/>
      <c r="K24" s="7" t="n"/>
      <c r="L24" s="7">
        <f>IFERROR(SUM(H24:K24),"")</f>
        <v/>
      </c>
      <c r="M24" s="7">
        <f>IFERROR(C24/L24,"")</f>
        <v/>
      </c>
      <c r="N24" s="10" t="n"/>
      <c r="O24" s="10" t="n"/>
      <c r="P24" s="10" t="n"/>
      <c r="Q24" s="10" t="inlineStr">
        <is>
          <t>Not Started</t>
        </is>
      </c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 ht="15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 ht="15" customHeight="1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 ht="15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 ht="15" customHeight="1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 ht="15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 ht="15" customHeight="1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 ht="15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 ht="15" customHeight="1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5" customHeight="1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</row>
    <row r="34" ht="15" customHeight="1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</row>
    <row r="35" ht="15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</row>
    <row r="36" ht="15" customHeight="1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 ht="15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</row>
    <row r="38" ht="15" customHeight="1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 ht="15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 ht="15" customHeight="1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</row>
    <row r="41" ht="15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 ht="15" customHeight="1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5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</row>
    <row r="44" ht="15" customHeight="1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</row>
    <row r="45" ht="15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</row>
    <row r="46" ht="15" customHeight="1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 ht="15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</row>
    <row r="48" ht="15" customHeight="1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</row>
    <row r="49" ht="15" customHeight="1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 ht="15" customHeight="1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</row>
    <row r="51" ht="15" customHeight="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</row>
    <row r="52" ht="15" customHeight="1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</row>
    <row r="53" ht="15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5" customHeight="1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</row>
    <row r="55" ht="15" customHeight="1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</row>
    <row r="56" ht="15" customHeight="1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</row>
    <row r="57" ht="15" customHeight="1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</row>
    <row r="58" ht="15" customHeight="1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</row>
    <row r="59" ht="15" customHeight="1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</row>
    <row r="60" ht="15" customHeight="1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</row>
    <row r="61" ht="15" customHeight="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</row>
    <row r="62" ht="15" customHeight="1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</row>
    <row r="63" ht="15" customHeight="1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</row>
    <row r="64" ht="15" customHeight="1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</row>
    <row r="65" ht="15" customHeight="1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</row>
    <row r="66" ht="15" customHeight="1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</row>
    <row r="67" ht="15" customHeight="1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</row>
    <row r="68" ht="15" customHeight="1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</row>
    <row r="69" ht="15" customHeight="1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</row>
    <row r="70" ht="15" customHeight="1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</row>
    <row r="71" ht="15" customHeight="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</row>
    <row r="72" ht="15" customHeight="1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</row>
    <row r="73" ht="15" customHeight="1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</row>
    <row r="74" ht="15" customHeight="1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</row>
    <row r="75" ht="15" customHeight="1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</row>
    <row r="76" ht="15" customHeight="1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 ht="15" customHeight="1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</row>
    <row r="78" ht="15" customHeight="1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</row>
    <row r="79" ht="15" customHeight="1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</row>
    <row r="80" ht="15" customHeight="1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</row>
    <row r="81" ht="15" customHeight="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</row>
    <row r="82" ht="15" customHeight="1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</row>
    <row r="83" ht="15" customHeight="1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</row>
    <row r="84" ht="15" customHeight="1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</row>
    <row r="85" ht="15" customHeight="1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</row>
    <row r="86" ht="15" customHeight="1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</row>
    <row r="87" ht="15" customHeight="1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</row>
    <row r="88" ht="15" customHeight="1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</row>
    <row r="89" ht="15" customHeight="1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</row>
    <row r="90" ht="15" customHeight="1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</row>
    <row r="91" ht="15" customHeight="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</row>
    <row r="92" ht="15" customHeight="1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</row>
    <row r="93" ht="15" customHeight="1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</row>
    <row r="94" ht="15" customHeight="1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</row>
    <row r="95" ht="15" customHeight="1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</row>
    <row r="96" ht="15" customHeight="1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</row>
    <row r="97" ht="15" customHeight="1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</row>
    <row r="98" ht="15" customHeight="1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</row>
    <row r="99" ht="15" customHeight="1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</row>
    <row r="100" ht="15" customHeight="1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</row>
    <row r="101" ht="15" customHeight="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</row>
    <row r="102" ht="15" customHeight="1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</row>
    <row r="103" ht="15" customHeight="1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</row>
    <row r="104" ht="15" customHeight="1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</row>
    <row r="105" ht="15" customHeight="1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</row>
    <row r="106" ht="15" customHeight="1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</row>
    <row r="107" ht="15" customHeight="1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</row>
    <row r="108" ht="15" customHeight="1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</row>
    <row r="109" ht="15" customHeight="1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</row>
    <row r="110" ht="15" customHeight="1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</row>
    <row r="111" ht="15" customHeight="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</row>
    <row r="112" ht="15" customHeight="1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</row>
    <row r="113" ht="15" customHeight="1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</row>
    <row r="114" ht="15" customHeight="1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</row>
    <row r="115" ht="15" customHeight="1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</row>
    <row r="116" ht="15" customHeight="1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</row>
    <row r="117" ht="15" customHeight="1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</row>
    <row r="118" ht="15" customHeight="1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</row>
    <row r="119" ht="15" customHeight="1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</row>
    <row r="120" ht="15" customHeight="1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</row>
    <row r="121" ht="15" customHeight="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</row>
    <row r="122" ht="15" customHeight="1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</row>
    <row r="123" ht="15" customHeight="1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</row>
    <row r="124" ht="15" customHeight="1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</row>
    <row r="125" ht="15" customHeight="1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</row>
    <row r="126" ht="15" customHeight="1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</row>
    <row r="127" ht="15" customHeight="1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</row>
    <row r="128" ht="15" customHeight="1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</row>
    <row r="129" ht="15" customHeight="1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</row>
    <row r="130" ht="15" customHeight="1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</row>
    <row r="131" ht="15" customHeight="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</row>
    <row r="132" ht="15" customHeight="1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</row>
    <row r="133" ht="15" customHeight="1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</row>
    <row r="134" ht="15" customHeight="1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</row>
    <row r="135" ht="15" customHeight="1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</row>
    <row r="136" ht="15" customHeight="1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</row>
    <row r="137" ht="15" customHeight="1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</row>
    <row r="138" ht="15" customHeight="1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</row>
    <row r="139" ht="15" customHeight="1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</row>
    <row r="140" ht="15" customHeight="1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</row>
    <row r="141" ht="15" customHeight="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</row>
    <row r="142" ht="15" customHeight="1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</row>
    <row r="143" ht="15" customHeight="1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</row>
    <row r="144" ht="15" customHeight="1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</row>
    <row r="145" ht="15" customHeight="1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</row>
    <row r="146" ht="15" customHeight="1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</row>
    <row r="147" ht="15" customHeight="1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</row>
    <row r="148" ht="15" customHeight="1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</row>
    <row r="149" ht="15" customHeight="1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</row>
    <row r="150" ht="15" customHeight="1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</row>
    <row r="151" ht="15" customHeight="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</row>
    <row r="152" ht="15" customHeight="1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</row>
    <row r="153" ht="15" customHeight="1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</row>
    <row r="154" ht="15" customHeight="1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</row>
    <row r="155" ht="15" customHeight="1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</row>
    <row r="156" ht="15" customHeight="1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</row>
    <row r="157" ht="15" customHeight="1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</row>
    <row r="158" ht="15" customHeight="1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</row>
    <row r="159" ht="15" customHeight="1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</row>
    <row r="160" ht="15" customHeight="1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</row>
    <row r="161" ht="15" customHeight="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</row>
    <row r="162" ht="15" customHeight="1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</row>
    <row r="163" ht="15" customHeight="1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</row>
    <row r="164" ht="15" customHeight="1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</row>
    <row r="165" ht="15" customHeight="1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</row>
    <row r="166" ht="15" customHeight="1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</row>
    <row r="167" ht="15" customHeight="1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</row>
    <row r="168" ht="15" customHeight="1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</row>
    <row r="169" ht="15" customHeight="1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</row>
    <row r="170" ht="15" customHeight="1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</row>
    <row r="171" ht="15" customHeight="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</row>
    <row r="172" ht="15" customHeight="1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</row>
    <row r="173" ht="15" customHeight="1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</row>
    <row r="174" ht="15" customHeight="1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</row>
    <row r="175" ht="15" customHeight="1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</row>
    <row r="176" ht="15" customHeight="1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</row>
    <row r="177" ht="15" customHeight="1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</row>
    <row r="178" ht="15" customHeight="1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</row>
    <row r="179" ht="15" customHeight="1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</row>
    <row r="180" ht="15" customHeight="1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</row>
    <row r="181" ht="15" customHeight="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</row>
    <row r="182" ht="15" customHeight="1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</row>
    <row r="183" ht="15" customHeight="1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</row>
    <row r="184" ht="15" customHeight="1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</row>
    <row r="185" ht="15" customHeight="1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</row>
    <row r="186" ht="15" customHeight="1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</row>
    <row r="187" ht="15" customHeight="1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</row>
    <row r="188" ht="15" customHeight="1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</row>
    <row r="189" ht="15" customHeight="1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</row>
    <row r="190" ht="15" customHeight="1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</row>
    <row r="191" ht="15" customHeight="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</row>
    <row r="192" ht="15" customHeight="1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</row>
    <row r="193" ht="15" customHeight="1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</row>
    <row r="194" ht="15" customHeight="1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</row>
    <row r="195" ht="15" customHeight="1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</row>
    <row r="196" ht="15" customHeight="1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</row>
    <row r="197" ht="15" customHeight="1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</row>
    <row r="198" ht="15" customHeight="1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</row>
    <row r="199" ht="15" customHeight="1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</row>
    <row r="200" ht="15" customHeight="1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</row>
  </sheetData>
  <mergeCells count="2">
    <mergeCell ref="A1:J1"/>
    <mergeCell ref="A2:J2"/>
  </mergeCells>
  <dataValidations count="1">
    <dataValidation sqref="Q5:Q24" showDropDown="0" showInputMessage="0" showErrorMessage="0" allowBlank="0" type="list">
      <formula1>"Not Started,Running,Completed,Verified,Failed"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:J1"/>
    </sheetView>
  </sheetViews>
  <sheetFormatPr baseColWidth="8" defaultRowHeight="14.25"/>
  <cols>
    <col width="10" customWidth="1" min="1" max="1"/>
    <col width="16" customWidth="1" min="2" max="2"/>
    <col width="12" customWidth="1" min="3" max="3"/>
    <col width="35" customWidth="1" min="4" max="4"/>
    <col width="14" customWidth="1" min="5" max="5"/>
    <col width="18" customWidth="1" min="6" max="6"/>
    <col width="14" customWidth="1" min="7" max="7"/>
    <col width="16" customWidth="1" min="8" max="9"/>
    <col width="15" customWidth="1" min="10" max="10"/>
    <col width="28" customWidth="1" min="11" max="11"/>
    <col width="35" customWidth="1" min="12" max="13"/>
  </cols>
  <sheetData>
    <row r="1" ht="115.15" customHeight="1">
      <c r="A1" s="9" t="inlineStr">
        <is>
          <t>Experiment E5 — GIS Export Validation</t>
        </is>
      </c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 ht="96" customHeight="1">
      <c r="A2" s="11" t="inlineStr">
        <is>
          <t>Open the exported GeoJSON/CSV in QGIS or another GIS tool. Record validation checks.</t>
        </is>
      </c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 ht="15" customHeight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</row>
    <row r="4" ht="15" customHeight="1">
      <c r="A4" s="1" t="inlineStr">
        <is>
          <t>Export_ID</t>
        </is>
      </c>
      <c r="B4" s="1" t="inlineStr">
        <is>
          <t>Source Mission</t>
        </is>
      </c>
      <c r="C4" s="1" t="inlineStr">
        <is>
          <t>File Type</t>
        </is>
      </c>
      <c r="D4" s="1" t="inlineStr">
        <is>
          <t>File Path</t>
        </is>
      </c>
      <c r="E4" s="1" t="inlineStr">
        <is>
          <t>Feature Count</t>
        </is>
      </c>
      <c r="F4" s="1" t="inlineStr">
        <is>
          <t>Expected Tree Count</t>
        </is>
      </c>
      <c r="G4" s="1" t="inlineStr">
        <is>
          <t>Count Match?</t>
        </is>
      </c>
      <c r="H4" s="1" t="inlineStr">
        <is>
          <t>Coordinate CRS</t>
        </is>
      </c>
      <c r="I4" s="1" t="inlineStr">
        <is>
          <t>Coordinate Valid?</t>
        </is>
      </c>
      <c r="J4" s="1" t="inlineStr">
        <is>
          <t>Opened in GIS?</t>
        </is>
      </c>
      <c r="K4" s="1" t="inlineStr">
        <is>
          <t>Screenshot Path</t>
        </is>
      </c>
      <c r="L4" s="1" t="inlineStr">
        <is>
          <t>Issues</t>
        </is>
      </c>
      <c r="M4" s="1" t="inlineStr">
        <is>
          <t>Reviewer Comment</t>
        </is>
      </c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</row>
    <row r="5" ht="15" customHeight="1">
      <c r="A5" s="10" t="inlineStr">
        <is>
          <t>G01</t>
        </is>
      </c>
      <c r="B5" s="10" t="inlineStr">
        <is>
          <t>Test Mission</t>
        </is>
      </c>
      <c r="C5" s="10" t="inlineStr">
        <is>
          <t>GeoJSON</t>
        </is>
      </c>
      <c r="D5" s="10" t="inlineStr">
        <is>
          <t>output\palm_trees.geojson</t>
        </is>
      </c>
      <c r="E5" s="10" t="n">
        <v>3</v>
      </c>
      <c r="F5" s="10" t="n">
        <v>3</v>
      </c>
      <c r="G5" s="10" t="inlineStr">
        <is>
          <t>Yes</t>
        </is>
      </c>
      <c r="H5" s="10" t="inlineStr">
        <is>
          <t>WGS84</t>
        </is>
      </c>
      <c r="I5" s="10" t="inlineStr">
        <is>
          <t>Yes</t>
        </is>
      </c>
      <c r="J5" s="10" t="inlineStr">
        <is>
          <t>Yes</t>
        </is>
      </c>
      <c r="K5" s="10" t="inlineStr">
        <is>
          <t>figures/qgis_validation.png</t>
        </is>
      </c>
      <c r="L5" s="10" t="n">
        <v/>
      </c>
      <c r="M5" s="10" t="inlineStr">
        <is>
          <t>GeoJSON is valid and complete</t>
        </is>
      </c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</row>
    <row r="6" ht="15" customHeight="1">
      <c r="A6" s="10" t="inlineStr">
        <is>
          <t>G02</t>
        </is>
      </c>
      <c r="B6" s="10" t="n"/>
      <c r="C6" s="10" t="inlineStr">
        <is>
          <t>GeoJSON</t>
        </is>
      </c>
      <c r="D6" s="10" t="n"/>
      <c r="E6" s="10" t="n"/>
      <c r="F6" s="10" t="n"/>
      <c r="G6" s="10" t="inlineStr">
        <is>
          <t>Unknown</t>
        </is>
      </c>
      <c r="H6" s="10" t="inlineStr">
        <is>
          <t>WGS84/Local</t>
        </is>
      </c>
      <c r="I6" s="10" t="inlineStr">
        <is>
          <t>Unknown</t>
        </is>
      </c>
      <c r="J6" s="10" t="inlineStr">
        <is>
          <t>Unknown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15" customHeight="1">
      <c r="A7" s="10" t="inlineStr">
        <is>
          <t>G03</t>
        </is>
      </c>
      <c r="B7" s="10" t="n"/>
      <c r="C7" s="10" t="inlineStr">
        <is>
          <t>GeoJSON</t>
        </is>
      </c>
      <c r="D7" s="10" t="n"/>
      <c r="E7" s="10" t="n"/>
      <c r="F7" s="10" t="n"/>
      <c r="G7" s="10" t="inlineStr">
        <is>
          <t>Unknown</t>
        </is>
      </c>
      <c r="H7" s="10" t="inlineStr">
        <is>
          <t>WGS84/Local</t>
        </is>
      </c>
      <c r="I7" s="10" t="inlineStr">
        <is>
          <t>Unknown</t>
        </is>
      </c>
      <c r="J7" s="10" t="inlineStr">
        <is>
          <t>Unknown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 ht="15" customHeight="1">
      <c r="A8" s="10" t="inlineStr">
        <is>
          <t>G04</t>
        </is>
      </c>
      <c r="B8" s="10" t="n"/>
      <c r="C8" s="10" t="inlineStr">
        <is>
          <t>GeoJSON</t>
        </is>
      </c>
      <c r="D8" s="10" t="n"/>
      <c r="E8" s="10" t="n"/>
      <c r="F8" s="10" t="n"/>
      <c r="G8" s="10" t="inlineStr">
        <is>
          <t>Unknown</t>
        </is>
      </c>
      <c r="H8" s="10" t="inlineStr">
        <is>
          <t>WGS84/Local</t>
        </is>
      </c>
      <c r="I8" s="10" t="inlineStr">
        <is>
          <t>Unknown</t>
        </is>
      </c>
      <c r="J8" s="10" t="inlineStr">
        <is>
          <t>Unknown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5" customHeight="1">
      <c r="A9" s="10" t="inlineStr">
        <is>
          <t>G05</t>
        </is>
      </c>
      <c r="B9" s="10" t="n"/>
      <c r="C9" s="10" t="inlineStr">
        <is>
          <t>GeoJSON</t>
        </is>
      </c>
      <c r="D9" s="10" t="n"/>
      <c r="E9" s="10" t="n"/>
      <c r="F9" s="10" t="n"/>
      <c r="G9" s="10" t="inlineStr">
        <is>
          <t>Unknown</t>
        </is>
      </c>
      <c r="H9" s="10" t="inlineStr">
        <is>
          <t>WGS84/Local</t>
        </is>
      </c>
      <c r="I9" s="10" t="inlineStr">
        <is>
          <t>Unknown</t>
        </is>
      </c>
      <c r="J9" s="10" t="inlineStr">
        <is>
          <t>Unknown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15" customHeight="1">
      <c r="A10" s="10" t="inlineStr">
        <is>
          <t>G06</t>
        </is>
      </c>
      <c r="B10" s="10" t="n"/>
      <c r="C10" s="10" t="inlineStr">
        <is>
          <t>GeoJSON</t>
        </is>
      </c>
      <c r="D10" s="10" t="n"/>
      <c r="E10" s="10" t="n"/>
      <c r="F10" s="10" t="n"/>
      <c r="G10" s="10" t="inlineStr">
        <is>
          <t>Unknown</t>
        </is>
      </c>
      <c r="H10" s="10" t="inlineStr">
        <is>
          <t>WGS84/Local</t>
        </is>
      </c>
      <c r="I10" s="10" t="inlineStr">
        <is>
          <t>Unknown</t>
        </is>
      </c>
      <c r="J10" s="10" t="inlineStr">
        <is>
          <t>Unknown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 ht="15" customHeight="1">
      <c r="A11" s="10" t="inlineStr">
        <is>
          <t>G07</t>
        </is>
      </c>
      <c r="B11" s="10" t="n"/>
      <c r="C11" s="10" t="inlineStr">
        <is>
          <t>GeoJSON</t>
        </is>
      </c>
      <c r="D11" s="10" t="n"/>
      <c r="E11" s="10" t="n"/>
      <c r="F11" s="10" t="n"/>
      <c r="G11" s="10" t="inlineStr">
        <is>
          <t>Unknown</t>
        </is>
      </c>
      <c r="H11" s="10" t="inlineStr">
        <is>
          <t>WGS84/Local</t>
        </is>
      </c>
      <c r="I11" s="10" t="inlineStr">
        <is>
          <t>Unknown</t>
        </is>
      </c>
      <c r="J11" s="10" t="inlineStr">
        <is>
          <t>Unknown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 ht="15" customHeight="1">
      <c r="A12" s="10" t="inlineStr">
        <is>
          <t>G08</t>
        </is>
      </c>
      <c r="B12" s="10" t="n"/>
      <c r="C12" s="10" t="inlineStr">
        <is>
          <t>GeoJSON</t>
        </is>
      </c>
      <c r="D12" s="10" t="n"/>
      <c r="E12" s="10" t="n"/>
      <c r="F12" s="10" t="n"/>
      <c r="G12" s="10" t="inlineStr">
        <is>
          <t>Unknown</t>
        </is>
      </c>
      <c r="H12" s="10" t="inlineStr">
        <is>
          <t>WGS84/Local</t>
        </is>
      </c>
      <c r="I12" s="10" t="inlineStr">
        <is>
          <t>Unknown</t>
        </is>
      </c>
      <c r="J12" s="10" t="inlineStr">
        <is>
          <t>Unknown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15" customHeight="1">
      <c r="A13" s="10" t="inlineStr">
        <is>
          <t>G09</t>
        </is>
      </c>
      <c r="B13" s="10" t="n"/>
      <c r="C13" s="10" t="inlineStr">
        <is>
          <t>GeoJSON</t>
        </is>
      </c>
      <c r="D13" s="10" t="n"/>
      <c r="E13" s="10" t="n"/>
      <c r="F13" s="10" t="n"/>
      <c r="G13" s="10" t="inlineStr">
        <is>
          <t>Unknown</t>
        </is>
      </c>
      <c r="H13" s="10" t="inlineStr">
        <is>
          <t>WGS84/Local</t>
        </is>
      </c>
      <c r="I13" s="10" t="inlineStr">
        <is>
          <t>Unknown</t>
        </is>
      </c>
      <c r="J13" s="10" t="inlineStr">
        <is>
          <t>Unknown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 ht="15" customHeight="1">
      <c r="A14" s="10" t="inlineStr">
        <is>
          <t>G10</t>
        </is>
      </c>
      <c r="B14" s="10" t="n"/>
      <c r="C14" s="10" t="inlineStr">
        <is>
          <t>GeoJSON</t>
        </is>
      </c>
      <c r="D14" s="10" t="n"/>
      <c r="E14" s="10" t="n"/>
      <c r="F14" s="10" t="n"/>
      <c r="G14" s="10" t="inlineStr">
        <is>
          <t>Unknown</t>
        </is>
      </c>
      <c r="H14" s="10" t="inlineStr">
        <is>
          <t>WGS84/Local</t>
        </is>
      </c>
      <c r="I14" s="10" t="inlineStr">
        <is>
          <t>Unknown</t>
        </is>
      </c>
      <c r="J14" s="10" t="inlineStr">
        <is>
          <t>Unknown</t>
        </is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 ht="15" customHeight="1">
      <c r="A15" s="10" t="inlineStr">
        <is>
          <t>G11</t>
        </is>
      </c>
      <c r="B15" s="10" t="n"/>
      <c r="C15" s="10" t="inlineStr">
        <is>
          <t>GeoJSON</t>
        </is>
      </c>
      <c r="D15" s="10" t="n"/>
      <c r="E15" s="10" t="n"/>
      <c r="F15" s="10" t="n"/>
      <c r="G15" s="10" t="inlineStr">
        <is>
          <t>Unknown</t>
        </is>
      </c>
      <c r="H15" s="10" t="inlineStr">
        <is>
          <t>WGS84/Local</t>
        </is>
      </c>
      <c r="I15" s="10" t="inlineStr">
        <is>
          <t>Unknown</t>
        </is>
      </c>
      <c r="J15" s="10" t="inlineStr">
        <is>
          <t>Unknown</t>
        </is>
      </c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15" customHeight="1">
      <c r="A16" s="10" t="inlineStr">
        <is>
          <t>G12</t>
        </is>
      </c>
      <c r="B16" s="10" t="n"/>
      <c r="C16" s="10" t="inlineStr">
        <is>
          <t>GeoJSON</t>
        </is>
      </c>
      <c r="D16" s="10" t="n"/>
      <c r="E16" s="10" t="n"/>
      <c r="F16" s="10" t="n"/>
      <c r="G16" s="10" t="inlineStr">
        <is>
          <t>Unknown</t>
        </is>
      </c>
      <c r="H16" s="10" t="inlineStr">
        <is>
          <t>WGS84/Local</t>
        </is>
      </c>
      <c r="I16" s="10" t="inlineStr">
        <is>
          <t>Unknown</t>
        </is>
      </c>
      <c r="J16" s="10" t="inlineStr">
        <is>
          <t>Unknown</t>
        </is>
      </c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 ht="15" customHeight="1">
      <c r="A17" s="10" t="inlineStr">
        <is>
          <t>G13</t>
        </is>
      </c>
      <c r="B17" s="10" t="n"/>
      <c r="C17" s="10" t="inlineStr">
        <is>
          <t>GeoJSON</t>
        </is>
      </c>
      <c r="D17" s="10" t="n"/>
      <c r="E17" s="10" t="n"/>
      <c r="F17" s="10" t="n"/>
      <c r="G17" s="10" t="inlineStr">
        <is>
          <t>Unknown</t>
        </is>
      </c>
      <c r="H17" s="10" t="inlineStr">
        <is>
          <t>WGS84/Local</t>
        </is>
      </c>
      <c r="I17" s="10" t="inlineStr">
        <is>
          <t>Unknown</t>
        </is>
      </c>
      <c r="J17" s="10" t="inlineStr">
        <is>
          <t>Unknown</t>
        </is>
      </c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5" customHeight="1">
      <c r="A18" s="10" t="inlineStr">
        <is>
          <t>G14</t>
        </is>
      </c>
      <c r="B18" s="10" t="n"/>
      <c r="C18" s="10" t="inlineStr">
        <is>
          <t>GeoJSON</t>
        </is>
      </c>
      <c r="D18" s="10" t="n"/>
      <c r="E18" s="10" t="n"/>
      <c r="F18" s="10" t="n"/>
      <c r="G18" s="10" t="inlineStr">
        <is>
          <t>Unknown</t>
        </is>
      </c>
      <c r="H18" s="10" t="inlineStr">
        <is>
          <t>WGS84/Local</t>
        </is>
      </c>
      <c r="I18" s="10" t="inlineStr">
        <is>
          <t>Unknown</t>
        </is>
      </c>
      <c r="J18" s="10" t="inlineStr">
        <is>
          <t>Unknown</t>
        </is>
      </c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5" customHeight="1">
      <c r="A19" s="10" t="inlineStr">
        <is>
          <t>G15</t>
        </is>
      </c>
      <c r="B19" s="10" t="n"/>
      <c r="C19" s="10" t="inlineStr">
        <is>
          <t>GeoJSON</t>
        </is>
      </c>
      <c r="D19" s="10" t="n"/>
      <c r="E19" s="10" t="n"/>
      <c r="F19" s="10" t="n"/>
      <c r="G19" s="10" t="inlineStr">
        <is>
          <t>Unknown</t>
        </is>
      </c>
      <c r="H19" s="10" t="inlineStr">
        <is>
          <t>WGS84/Local</t>
        </is>
      </c>
      <c r="I19" s="10" t="inlineStr">
        <is>
          <t>Unknown</t>
        </is>
      </c>
      <c r="J19" s="10" t="inlineStr">
        <is>
          <t>Unknown</t>
        </is>
      </c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 ht="15" customHeight="1">
      <c r="A20" s="10" t="inlineStr">
        <is>
          <t>G16</t>
        </is>
      </c>
      <c r="B20" s="10" t="n"/>
      <c r="C20" s="10" t="inlineStr">
        <is>
          <t>GeoJSON</t>
        </is>
      </c>
      <c r="D20" s="10" t="n"/>
      <c r="E20" s="10" t="n"/>
      <c r="F20" s="10" t="n"/>
      <c r="G20" s="10" t="inlineStr">
        <is>
          <t>Unknown</t>
        </is>
      </c>
      <c r="H20" s="10" t="inlineStr">
        <is>
          <t>WGS84/Local</t>
        </is>
      </c>
      <c r="I20" s="10" t="inlineStr">
        <is>
          <t>Unknown</t>
        </is>
      </c>
      <c r="J20" s="10" t="inlineStr">
        <is>
          <t>Unknown</t>
        </is>
      </c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5" customHeight="1">
      <c r="A21" s="10" t="inlineStr">
        <is>
          <t>G17</t>
        </is>
      </c>
      <c r="B21" s="10" t="n"/>
      <c r="C21" s="10" t="inlineStr">
        <is>
          <t>GeoJSON</t>
        </is>
      </c>
      <c r="D21" s="10" t="n"/>
      <c r="E21" s="10" t="n"/>
      <c r="F21" s="10" t="n"/>
      <c r="G21" s="10" t="inlineStr">
        <is>
          <t>Unknown</t>
        </is>
      </c>
      <c r="H21" s="10" t="inlineStr">
        <is>
          <t>WGS84/Local</t>
        </is>
      </c>
      <c r="I21" s="10" t="inlineStr">
        <is>
          <t>Unknown</t>
        </is>
      </c>
      <c r="J21" s="10" t="inlineStr">
        <is>
          <t>Unknown</t>
        </is>
      </c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 ht="15" customHeight="1">
      <c r="A22" s="10" t="inlineStr">
        <is>
          <t>G18</t>
        </is>
      </c>
      <c r="B22" s="10" t="n"/>
      <c r="C22" s="10" t="inlineStr">
        <is>
          <t>GeoJSON</t>
        </is>
      </c>
      <c r="D22" s="10" t="n"/>
      <c r="E22" s="10" t="n"/>
      <c r="F22" s="10" t="n"/>
      <c r="G22" s="10" t="inlineStr">
        <is>
          <t>Unknown</t>
        </is>
      </c>
      <c r="H22" s="10" t="inlineStr">
        <is>
          <t>WGS84/Local</t>
        </is>
      </c>
      <c r="I22" s="10" t="inlineStr">
        <is>
          <t>Unknown</t>
        </is>
      </c>
      <c r="J22" s="10" t="inlineStr">
        <is>
          <t>Unknown</t>
        </is>
      </c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 ht="15" customHeight="1">
      <c r="A23" s="10" t="inlineStr">
        <is>
          <t>G19</t>
        </is>
      </c>
      <c r="B23" s="10" t="n"/>
      <c r="C23" s="10" t="inlineStr">
        <is>
          <t>GeoJSON</t>
        </is>
      </c>
      <c r="D23" s="10" t="n"/>
      <c r="E23" s="10" t="n"/>
      <c r="F23" s="10" t="n"/>
      <c r="G23" s="10" t="inlineStr">
        <is>
          <t>Unknown</t>
        </is>
      </c>
      <c r="H23" s="10" t="inlineStr">
        <is>
          <t>WGS84/Local</t>
        </is>
      </c>
      <c r="I23" s="10" t="inlineStr">
        <is>
          <t>Unknown</t>
        </is>
      </c>
      <c r="J23" s="10" t="inlineStr">
        <is>
          <t>Unknown</t>
        </is>
      </c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 ht="15" customHeight="1">
      <c r="A24" s="10" t="inlineStr">
        <is>
          <t>G20</t>
        </is>
      </c>
      <c r="B24" s="10" t="n"/>
      <c r="C24" s="10" t="inlineStr">
        <is>
          <t>GeoJSON</t>
        </is>
      </c>
      <c r="D24" s="10" t="n"/>
      <c r="E24" s="10" t="n"/>
      <c r="F24" s="10" t="n"/>
      <c r="G24" s="10" t="inlineStr">
        <is>
          <t>Unknown</t>
        </is>
      </c>
      <c r="H24" s="10" t="inlineStr">
        <is>
          <t>WGS84/Local</t>
        </is>
      </c>
      <c r="I24" s="10" t="inlineStr">
        <is>
          <t>Unknown</t>
        </is>
      </c>
      <c r="J24" s="10" t="inlineStr">
        <is>
          <t>Unknown</t>
        </is>
      </c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 ht="15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 ht="15" customHeight="1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 ht="15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 ht="15" customHeight="1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 ht="15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 ht="15" customHeight="1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 ht="15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 ht="15" customHeight="1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5" customHeight="1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</row>
    <row r="34" ht="15" customHeight="1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</row>
    <row r="35" ht="15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</row>
    <row r="36" ht="15" customHeight="1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 ht="15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</row>
    <row r="38" ht="15" customHeight="1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 ht="15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 ht="15" customHeight="1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</row>
    <row r="41" ht="15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 ht="15" customHeight="1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5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</row>
    <row r="44" ht="15" customHeight="1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</row>
    <row r="45" ht="15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</row>
    <row r="46" ht="15" customHeight="1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 ht="15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</row>
    <row r="48" ht="15" customHeight="1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</row>
    <row r="49" ht="15" customHeight="1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 ht="15" customHeight="1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</row>
    <row r="51" ht="15" customHeight="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</row>
    <row r="52" ht="15" customHeight="1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</row>
    <row r="53" ht="15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5" customHeight="1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</row>
    <row r="55" ht="15" customHeight="1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</row>
    <row r="56" ht="15" customHeight="1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</row>
    <row r="57" ht="15" customHeight="1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</row>
    <row r="58" ht="15" customHeight="1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</row>
    <row r="59" ht="15" customHeight="1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</row>
    <row r="60" ht="15" customHeight="1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</row>
    <row r="61" ht="15" customHeight="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</row>
    <row r="62" ht="15" customHeight="1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</row>
    <row r="63" ht="15" customHeight="1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</row>
    <row r="64" ht="15" customHeight="1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</row>
    <row r="65" ht="15" customHeight="1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</row>
    <row r="66" ht="15" customHeight="1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</row>
    <row r="67" ht="15" customHeight="1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</row>
    <row r="68" ht="15" customHeight="1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</row>
    <row r="69" ht="15" customHeight="1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</row>
    <row r="70" ht="15" customHeight="1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</row>
    <row r="71" ht="15" customHeight="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</row>
    <row r="72" ht="15" customHeight="1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</row>
    <row r="73" ht="15" customHeight="1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</row>
    <row r="74" ht="15" customHeight="1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</row>
    <row r="75" ht="15" customHeight="1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</row>
    <row r="76" ht="15" customHeight="1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 ht="15" customHeight="1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</row>
    <row r="78" ht="15" customHeight="1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</row>
    <row r="79" ht="15" customHeight="1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</row>
    <row r="80" ht="15" customHeight="1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</row>
    <row r="81" ht="15" customHeight="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</row>
    <row r="82" ht="15" customHeight="1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</row>
    <row r="83" ht="15" customHeight="1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</row>
    <row r="84" ht="15" customHeight="1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</row>
    <row r="85" ht="15" customHeight="1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</row>
    <row r="86" ht="15" customHeight="1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</row>
    <row r="87" ht="15" customHeight="1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</row>
    <row r="88" ht="15" customHeight="1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</row>
    <row r="89" ht="15" customHeight="1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</row>
    <row r="90" ht="15" customHeight="1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</row>
    <row r="91" ht="15" customHeight="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</row>
    <row r="92" ht="15" customHeight="1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</row>
    <row r="93" ht="15" customHeight="1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</row>
    <row r="94" ht="15" customHeight="1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</row>
    <row r="95" ht="15" customHeight="1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</row>
    <row r="96" ht="15" customHeight="1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</row>
    <row r="97" ht="15" customHeight="1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</row>
    <row r="98" ht="15" customHeight="1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</row>
    <row r="99" ht="15" customHeight="1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</row>
    <row r="100" ht="15" customHeight="1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</row>
    <row r="101" ht="15" customHeight="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</row>
    <row r="102" ht="15" customHeight="1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</row>
    <row r="103" ht="15" customHeight="1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</row>
    <row r="104" ht="15" customHeight="1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</row>
    <row r="105" ht="15" customHeight="1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</row>
    <row r="106" ht="15" customHeight="1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</row>
    <row r="107" ht="15" customHeight="1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</row>
    <row r="108" ht="15" customHeight="1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</row>
    <row r="109" ht="15" customHeight="1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</row>
    <row r="110" ht="15" customHeight="1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</row>
    <row r="111" ht="15" customHeight="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</row>
    <row r="112" ht="15" customHeight="1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</row>
    <row r="113" ht="15" customHeight="1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</row>
    <row r="114" ht="15" customHeight="1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</row>
    <row r="115" ht="15" customHeight="1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</row>
    <row r="116" ht="15" customHeight="1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</row>
    <row r="117" ht="15" customHeight="1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</row>
    <row r="118" ht="15" customHeight="1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</row>
    <row r="119" ht="15" customHeight="1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</row>
    <row r="120" ht="15" customHeight="1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</row>
    <row r="121" ht="15" customHeight="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</row>
    <row r="122" ht="15" customHeight="1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</row>
    <row r="123" ht="15" customHeight="1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</row>
    <row r="124" ht="15" customHeight="1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</row>
    <row r="125" ht="15" customHeight="1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</row>
    <row r="126" ht="15" customHeight="1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</row>
    <row r="127" ht="15" customHeight="1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</row>
    <row r="128" ht="15" customHeight="1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</row>
    <row r="129" ht="15" customHeight="1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</row>
    <row r="130" ht="15" customHeight="1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</row>
    <row r="131" ht="15" customHeight="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</row>
    <row r="132" ht="15" customHeight="1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</row>
    <row r="133" ht="15" customHeight="1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</row>
    <row r="134" ht="15" customHeight="1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</row>
    <row r="135" ht="15" customHeight="1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</row>
    <row r="136" ht="15" customHeight="1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</row>
    <row r="137" ht="15" customHeight="1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</row>
    <row r="138" ht="15" customHeight="1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</row>
    <row r="139" ht="15" customHeight="1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</row>
    <row r="140" ht="15" customHeight="1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</row>
    <row r="141" ht="15" customHeight="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</row>
    <row r="142" ht="15" customHeight="1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</row>
    <row r="143" ht="15" customHeight="1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</row>
    <row r="144" ht="15" customHeight="1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</row>
    <row r="145" ht="15" customHeight="1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</row>
    <row r="146" ht="15" customHeight="1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</row>
    <row r="147" ht="15" customHeight="1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</row>
    <row r="148" ht="15" customHeight="1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</row>
    <row r="149" ht="15" customHeight="1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</row>
    <row r="150" ht="15" customHeight="1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</row>
    <row r="151" ht="15" customHeight="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</row>
    <row r="152" ht="15" customHeight="1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</row>
    <row r="153" ht="15" customHeight="1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</row>
    <row r="154" ht="15" customHeight="1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</row>
    <row r="155" ht="15" customHeight="1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</row>
    <row r="156" ht="15" customHeight="1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</row>
    <row r="157" ht="15" customHeight="1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</row>
    <row r="158" ht="15" customHeight="1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</row>
    <row r="159" ht="15" customHeight="1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</row>
    <row r="160" ht="15" customHeight="1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</row>
    <row r="161" ht="15" customHeight="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</row>
    <row r="162" ht="15" customHeight="1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</row>
    <row r="163" ht="15" customHeight="1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</row>
    <row r="164" ht="15" customHeight="1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</row>
    <row r="165" ht="15" customHeight="1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</row>
    <row r="166" ht="15" customHeight="1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</row>
    <row r="167" ht="15" customHeight="1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</row>
    <row r="168" ht="15" customHeight="1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</row>
    <row r="169" ht="15" customHeight="1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</row>
    <row r="170" ht="15" customHeight="1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</row>
    <row r="171" ht="15" customHeight="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</row>
    <row r="172" ht="15" customHeight="1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</row>
    <row r="173" ht="15" customHeight="1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</row>
    <row r="174" ht="15" customHeight="1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</row>
    <row r="175" ht="15" customHeight="1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</row>
    <row r="176" ht="15" customHeight="1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</row>
    <row r="177" ht="15" customHeight="1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</row>
    <row r="178" ht="15" customHeight="1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</row>
    <row r="179" ht="15" customHeight="1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</row>
    <row r="180" ht="15" customHeight="1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</row>
    <row r="181" ht="15" customHeight="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</row>
    <row r="182" ht="15" customHeight="1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</row>
    <row r="183" ht="15" customHeight="1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</row>
    <row r="184" ht="15" customHeight="1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</row>
    <row r="185" ht="15" customHeight="1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</row>
    <row r="186" ht="15" customHeight="1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</row>
    <row r="187" ht="15" customHeight="1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</row>
    <row r="188" ht="15" customHeight="1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</row>
    <row r="189" ht="15" customHeight="1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</row>
    <row r="190" ht="15" customHeight="1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</row>
    <row r="191" ht="15" customHeight="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</row>
    <row r="192" ht="15" customHeight="1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</row>
    <row r="193" ht="15" customHeight="1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</row>
    <row r="194" ht="15" customHeight="1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</row>
    <row r="195" ht="15" customHeight="1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</row>
    <row r="196" ht="15" customHeight="1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</row>
    <row r="197" ht="15" customHeight="1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</row>
    <row r="198" ht="15" customHeight="1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</row>
    <row r="199" ht="15" customHeight="1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</row>
    <row r="200" ht="15" customHeight="1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</row>
  </sheetData>
  <mergeCells count="2">
    <mergeCell ref="A1:J1"/>
    <mergeCell ref="A2:J2"/>
  </mergeCells>
  <dataValidations count="2">
    <dataValidation sqref="G5:G24 I5:J24" showDropDown="0" showInputMessage="0" showErrorMessage="0" allowBlank="0" type="list">
      <formula1>"Yes,No,Unknown"</formula1>
    </dataValidation>
    <dataValidation sqref="C5:C24" showDropDown="0" showInputMessage="0" showErrorMessage="0" allowBlank="0" type="list">
      <formula1>"GeoJSON,CSV,Shapefile,Other"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:J1"/>
    </sheetView>
  </sheetViews>
  <sheetFormatPr baseColWidth="8" defaultRowHeight="14.25"/>
  <cols>
    <col width="16" customWidth="1" min="1" max="1"/>
    <col width="35" customWidth="1" min="2" max="2"/>
    <col width="12" customWidth="1" min="3" max="3"/>
    <col width="14" customWidth="1" min="4" max="4"/>
    <col width="16" customWidth="1" min="5" max="5"/>
    <col width="30" customWidth="1" min="6" max="6"/>
    <col width="45" customWidth="1" min="7" max="7"/>
    <col width="20" customWidth="1" min="8" max="8"/>
  </cols>
  <sheetData>
    <row r="1" ht="57.6" customHeight="1">
      <c r="A1" s="9" t="inlineStr">
        <is>
          <t>Publication Evidence Checklist</t>
        </is>
      </c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 ht="36" customHeight="1">
      <c r="A2" s="11" t="inlineStr">
        <is>
          <t>Use this as the final audit before writing manuscript results.</t>
        </is>
      </c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 ht="15" customHeight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</row>
    <row r="4" ht="15" customHeight="1">
      <c r="A4" s="1" t="inlineStr">
        <is>
          <t>Category</t>
        </is>
      </c>
      <c r="B4" s="1" t="inlineStr">
        <is>
          <t>Evidence Item</t>
        </is>
      </c>
      <c r="C4" s="1" t="inlineStr">
        <is>
          <t>Required?</t>
        </is>
      </c>
      <c r="D4" s="1" t="inlineStr">
        <is>
          <t>Status</t>
        </is>
      </c>
      <c r="E4" s="1" t="inlineStr">
        <is>
          <t>Owner</t>
        </is>
      </c>
      <c r="F4" s="1" t="inlineStr">
        <is>
          <t>File/Folder Path</t>
        </is>
      </c>
      <c r="G4" s="1" t="inlineStr">
        <is>
          <t>Quality Comment</t>
        </is>
      </c>
      <c r="H4" s="1" t="inlineStr">
        <is>
          <t>Manuscript Use</t>
        </is>
      </c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</row>
    <row r="5" ht="15" customHeight="1">
      <c r="A5" s="10" t="inlineStr">
        <is>
          <t>Dataset</t>
        </is>
      </c>
      <c r="B5" s="10" t="inlineStr">
        <is>
          <t>Train/validation/test split files</t>
        </is>
      </c>
      <c r="C5" s="10" t="inlineStr">
        <is>
          <t>Yes</t>
        </is>
      </c>
      <c r="D5" s="10" t="inlineStr">
        <is>
          <t>Verified</t>
        </is>
      </c>
      <c r="E5" s="10" t="n"/>
      <c r="F5" s="10" t="inlineStr">
        <is>
          <t>validation/evidence/</t>
        </is>
      </c>
      <c r="G5" s="10" t="inlineStr">
        <is>
          <t>Must be fixed and reproducible.</t>
        </is>
      </c>
      <c r="H5" s="10" t="inlineStr">
        <is>
          <t>Methods</t>
        </is>
      </c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</row>
    <row r="6" ht="15" customHeight="1">
      <c r="A6" s="10" t="inlineStr">
        <is>
          <t>Dataset</t>
        </is>
      </c>
      <c r="B6" s="10" t="inlineStr">
        <is>
          <t>Label format and annotation example</t>
        </is>
      </c>
      <c r="C6" s="10" t="inlineStr">
        <is>
          <t>Yes</t>
        </is>
      </c>
      <c r="D6" s="10" t="inlineStr">
        <is>
          <t>Verified</t>
        </is>
      </c>
      <c r="E6" s="10" t="n"/>
      <c r="F6" s="10" t="inlineStr">
        <is>
          <t>validation/evidence/</t>
        </is>
      </c>
      <c r="G6" s="10" t="inlineStr">
        <is>
          <t>Include one screenshot.</t>
        </is>
      </c>
      <c r="H6" s="10" t="inlineStr">
        <is>
          <t>Methods/Figure</t>
        </is>
      </c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15" customHeight="1">
      <c r="A7" s="10" t="inlineStr">
        <is>
          <t>Detection</t>
        </is>
      </c>
      <c r="B7" s="10" t="inlineStr">
        <is>
          <t>YOLO validation log</t>
        </is>
      </c>
      <c r="C7" s="10" t="inlineStr">
        <is>
          <t>Yes</t>
        </is>
      </c>
      <c r="D7" s="10" t="inlineStr">
        <is>
          <t>Verified</t>
        </is>
      </c>
      <c r="E7" s="10" t="n"/>
      <c r="F7" s="10" t="inlineStr">
        <is>
          <t>validation/evidence/</t>
        </is>
      </c>
      <c r="G7" s="10" t="inlineStr">
        <is>
          <t>Keep raw output.</t>
        </is>
      </c>
      <c r="H7" s="10" t="inlineStr">
        <is>
          <t>Results</t>
        </is>
      </c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 ht="15" customHeight="1">
      <c r="A8" s="10" t="inlineStr">
        <is>
          <t>Detection</t>
        </is>
      </c>
      <c r="B8" s="10" t="inlineStr">
        <is>
          <t>Detection result screenshots</t>
        </is>
      </c>
      <c r="C8" s="10" t="inlineStr">
        <is>
          <t>Yes</t>
        </is>
      </c>
      <c r="D8" s="10" t="inlineStr">
        <is>
          <t>Verified</t>
        </is>
      </c>
      <c r="E8" s="10" t="n"/>
      <c r="F8" s="10" t="inlineStr">
        <is>
          <t>validation/evidence/</t>
        </is>
      </c>
      <c r="G8" s="10" t="inlineStr">
        <is>
          <t>Use representative images only.</t>
        </is>
      </c>
      <c r="H8" s="10" t="inlineStr">
        <is>
          <t>Figure</t>
        </is>
      </c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5" customHeight="1">
      <c r="A9" s="10" t="inlineStr">
        <is>
          <t>Tree-ID</t>
        </is>
      </c>
      <c r="B9" s="10" t="inlineStr">
        <is>
          <t>Observation log with GT IDs</t>
        </is>
      </c>
      <c r="C9" s="10" t="inlineStr">
        <is>
          <t>Yes</t>
        </is>
      </c>
      <c r="D9" s="10" t="inlineStr">
        <is>
          <t>Verified</t>
        </is>
      </c>
      <c r="E9" s="10" t="n"/>
      <c r="F9" s="10" t="inlineStr">
        <is>
          <t>validation/evidence/</t>
        </is>
      </c>
      <c r="G9" s="10" t="inlineStr">
        <is>
          <t>Critical for novelty.</t>
        </is>
      </c>
      <c r="H9" s="10" t="inlineStr">
        <is>
          <t>Results</t>
        </is>
      </c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15" customHeight="1">
      <c r="A10" s="10" t="inlineStr">
        <is>
          <t>Tree-ID</t>
        </is>
      </c>
      <c r="B10" s="10" t="inlineStr">
        <is>
          <t>Baseline comparison table</t>
        </is>
      </c>
      <c r="C10" s="10" t="inlineStr">
        <is>
          <t>Yes</t>
        </is>
      </c>
      <c r="D10" s="10" t="inlineStr">
        <is>
          <t>Verified</t>
        </is>
      </c>
      <c r="E10" s="10" t="n"/>
      <c r="F10" s="10" t="inlineStr">
        <is>
          <t>validation/evidence/</t>
        </is>
      </c>
      <c r="G10" s="10" t="inlineStr">
        <is>
          <t>Detection-only vs proposed.</t>
        </is>
      </c>
      <c r="H10" s="10" t="inlineStr">
        <is>
          <t>Results</t>
        </is>
      </c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 ht="15" customHeight="1">
      <c r="A11" s="10" t="inlineStr">
        <is>
          <t>Mapping</t>
        </is>
      </c>
      <c r="B11" s="10" t="inlineStr">
        <is>
          <t>Reference coordinate source</t>
        </is>
      </c>
      <c r="C11" s="10" t="inlineStr">
        <is>
          <t>Yes</t>
        </is>
      </c>
      <c r="D11" s="10" t="inlineStr">
        <is>
          <t>Verified</t>
        </is>
      </c>
      <c r="E11" s="10" t="n"/>
      <c r="F11" s="10" t="inlineStr">
        <is>
          <t>validation/evidence/</t>
        </is>
      </c>
      <c r="G11" s="10" t="inlineStr">
        <is>
          <t>State if manual/GIS/GPS.</t>
        </is>
      </c>
      <c r="H11" s="10" t="inlineStr">
        <is>
          <t>Methods</t>
        </is>
      </c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 ht="15" customHeight="1">
      <c r="A12" s="10" t="inlineStr">
        <is>
          <t>Mapping</t>
        </is>
      </c>
      <c r="B12" s="10" t="inlineStr">
        <is>
          <t>Mapping error table</t>
        </is>
      </c>
      <c r="C12" s="10" t="inlineStr">
        <is>
          <t>Yes</t>
        </is>
      </c>
      <c r="D12" s="10" t="inlineStr">
        <is>
          <t>Verified</t>
        </is>
      </c>
      <c r="E12" s="10" t="n"/>
      <c r="F12" s="10" t="inlineStr">
        <is>
          <t>validation/evidence/</t>
        </is>
      </c>
      <c r="G12" s="10" t="inlineStr">
        <is>
          <t>Mean/median/RMSE/max.</t>
        </is>
      </c>
      <c r="H12" s="10" t="inlineStr">
        <is>
          <t>Results</t>
        </is>
      </c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15" customHeight="1">
      <c r="A13" s="10" t="inlineStr">
        <is>
          <t>Pipeline</t>
        </is>
      </c>
      <c r="B13" s="10" t="inlineStr">
        <is>
          <t>SQLite database file</t>
        </is>
      </c>
      <c r="C13" s="10" t="inlineStr">
        <is>
          <t>Yes</t>
        </is>
      </c>
      <c r="D13" s="10" t="inlineStr">
        <is>
          <t>Verified</t>
        </is>
      </c>
      <c r="E13" s="10" t="n"/>
      <c r="F13" s="10" t="inlineStr">
        <is>
          <t>validation/evidence/</t>
        </is>
      </c>
      <c r="G13" s="10" t="inlineStr">
        <is>
          <t>Archive final DB.</t>
        </is>
      </c>
      <c r="H13" s="10" t="inlineStr">
        <is>
          <t>Artifact</t>
        </is>
      </c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 ht="15" customHeight="1">
      <c r="A14" s="10" t="inlineStr">
        <is>
          <t>Pipeline</t>
        </is>
      </c>
      <c r="B14" s="10" t="inlineStr">
        <is>
          <t>GeoJSON/CSV export</t>
        </is>
      </c>
      <c r="C14" s="10" t="inlineStr">
        <is>
          <t>Yes</t>
        </is>
      </c>
      <c r="D14" s="10" t="inlineStr">
        <is>
          <t>Verified</t>
        </is>
      </c>
      <c r="E14" s="10" t="n"/>
      <c r="F14" s="10" t="inlineStr">
        <is>
          <t>validation/evidence/</t>
        </is>
      </c>
      <c r="G14" s="10" t="inlineStr">
        <is>
          <t>Must open in GIS.</t>
        </is>
      </c>
      <c r="H14" s="10" t="inlineStr">
        <is>
          <t>Artifact/Figure</t>
        </is>
      </c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 ht="15" customHeight="1">
      <c r="A15" s="10" t="inlineStr">
        <is>
          <t>Pipeline</t>
        </is>
      </c>
      <c r="B15" s="10" t="inlineStr">
        <is>
          <t>Dashboard screenshot</t>
        </is>
      </c>
      <c r="C15" s="10" t="inlineStr">
        <is>
          <t>Yes</t>
        </is>
      </c>
      <c r="D15" s="10" t="inlineStr">
        <is>
          <t>Verified</t>
        </is>
      </c>
      <c r="E15" s="10" t="n"/>
      <c r="F15" s="10" t="inlineStr">
        <is>
          <t>validation/evidence/</t>
        </is>
      </c>
      <c r="G15" s="10" t="inlineStr">
        <is>
          <t>Supporting evidence.</t>
        </is>
      </c>
      <c r="H15" s="10" t="inlineStr">
        <is>
          <t>Figure</t>
        </is>
      </c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15" customHeight="1">
      <c r="A16" s="10" t="inlineStr">
        <is>
          <t>Runtime</t>
        </is>
      </c>
      <c r="B16" s="10" t="inlineStr">
        <is>
          <t>Runtime measurement log</t>
        </is>
      </c>
      <c r="C16" s="10" t="inlineStr">
        <is>
          <t>Yes</t>
        </is>
      </c>
      <c r="D16" s="10" t="inlineStr">
        <is>
          <t>Verified</t>
        </is>
      </c>
      <c r="E16" s="10" t="n"/>
      <c r="F16" s="10" t="inlineStr">
        <is>
          <t>validation/evidence/</t>
        </is>
      </c>
      <c r="G16" s="10" t="inlineStr">
        <is>
          <t>Include hardware specs.</t>
        </is>
      </c>
      <c r="H16" s="10" t="inlineStr">
        <is>
          <t>Results</t>
        </is>
      </c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 ht="15" customHeight="1">
      <c r="A17" s="10" t="inlineStr">
        <is>
          <t>Reproducibility</t>
        </is>
      </c>
      <c r="B17" s="10" t="inlineStr">
        <is>
          <t>Script commands and repo commit</t>
        </is>
      </c>
      <c r="C17" s="10" t="inlineStr">
        <is>
          <t>Yes</t>
        </is>
      </c>
      <c r="D17" s="10" t="inlineStr">
        <is>
          <t>Verified</t>
        </is>
      </c>
      <c r="E17" s="10" t="n"/>
      <c r="F17" s="10" t="inlineStr">
        <is>
          <t>validation/evidence/</t>
        </is>
      </c>
      <c r="G17" s="10" t="inlineStr">
        <is>
          <t>Minimum reproducibility.</t>
        </is>
      </c>
      <c r="H17" s="10" t="inlineStr">
        <is>
          <t>Appendix</t>
        </is>
      </c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5" customHeight="1">
      <c r="A18" s="10" t="inlineStr">
        <is>
          <t>Manuscript</t>
        </is>
      </c>
      <c r="B18" s="10" t="inlineStr">
        <is>
          <t>Limitations statement</t>
        </is>
      </c>
      <c r="C18" s="10" t="inlineStr">
        <is>
          <t>Yes</t>
        </is>
      </c>
      <c r="D18" s="10" t="inlineStr">
        <is>
          <t>Verified</t>
        </is>
      </c>
      <c r="E18" s="10" t="n"/>
      <c r="F18" s="10" t="inlineStr">
        <is>
          <t>validation/evidence/</t>
        </is>
      </c>
      <c r="G18" s="10" t="inlineStr">
        <is>
          <t>Avoid overclaiming.</t>
        </is>
      </c>
      <c r="H18" s="10" t="inlineStr">
        <is>
          <t>Discussion</t>
        </is>
      </c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5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 ht="15" customHeight="1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5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 ht="15" customHeight="1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 ht="15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 ht="15" customHeight="1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 ht="15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 ht="15" customHeight="1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 ht="15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 ht="15" customHeight="1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 ht="15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 ht="15" customHeight="1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 ht="15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 ht="15" customHeight="1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5" customHeight="1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</row>
    <row r="34" ht="15" customHeight="1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</row>
    <row r="35" ht="15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</row>
    <row r="36" ht="15" customHeight="1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 ht="15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</row>
    <row r="38" ht="15" customHeight="1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 ht="15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 ht="15" customHeight="1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</row>
    <row r="41" ht="15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 ht="15" customHeight="1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5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</row>
    <row r="44" ht="15" customHeight="1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</row>
    <row r="45" ht="15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</row>
    <row r="46" ht="15" customHeight="1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 ht="15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</row>
    <row r="48" ht="15" customHeight="1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</row>
    <row r="49" ht="15" customHeight="1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 ht="15" customHeight="1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</row>
    <row r="51" ht="15" customHeight="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</row>
    <row r="52" ht="15" customHeight="1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</row>
    <row r="53" ht="15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5" customHeight="1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</row>
    <row r="55" ht="15" customHeight="1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</row>
    <row r="56" ht="15" customHeight="1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</row>
    <row r="57" ht="15" customHeight="1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</row>
    <row r="58" ht="15" customHeight="1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</row>
    <row r="59" ht="15" customHeight="1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</row>
    <row r="60" ht="15" customHeight="1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</row>
    <row r="61" ht="15" customHeight="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</row>
    <row r="62" ht="15" customHeight="1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</row>
    <row r="63" ht="15" customHeight="1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</row>
    <row r="64" ht="15" customHeight="1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</row>
    <row r="65" ht="15" customHeight="1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</row>
    <row r="66" ht="15" customHeight="1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</row>
    <row r="67" ht="15" customHeight="1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</row>
    <row r="68" ht="15" customHeight="1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</row>
    <row r="69" ht="15" customHeight="1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</row>
    <row r="70" ht="15" customHeight="1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</row>
    <row r="71" ht="15" customHeight="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</row>
    <row r="72" ht="15" customHeight="1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</row>
    <row r="73" ht="15" customHeight="1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</row>
    <row r="74" ht="15" customHeight="1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</row>
    <row r="75" ht="15" customHeight="1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</row>
    <row r="76" ht="15" customHeight="1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 ht="15" customHeight="1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</row>
    <row r="78" ht="15" customHeight="1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</row>
    <row r="79" ht="15" customHeight="1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</row>
    <row r="80" ht="15" customHeight="1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</row>
    <row r="81" ht="15" customHeight="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</row>
    <row r="82" ht="15" customHeight="1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</row>
    <row r="83" ht="15" customHeight="1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</row>
    <row r="84" ht="15" customHeight="1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</row>
    <row r="85" ht="15" customHeight="1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</row>
    <row r="86" ht="15" customHeight="1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</row>
    <row r="87" ht="15" customHeight="1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</row>
    <row r="88" ht="15" customHeight="1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</row>
    <row r="89" ht="15" customHeight="1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</row>
    <row r="90" ht="15" customHeight="1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</row>
    <row r="91" ht="15" customHeight="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</row>
    <row r="92" ht="15" customHeight="1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</row>
    <row r="93" ht="15" customHeight="1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</row>
    <row r="94" ht="15" customHeight="1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</row>
    <row r="95" ht="15" customHeight="1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</row>
    <row r="96" ht="15" customHeight="1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</row>
    <row r="97" ht="15" customHeight="1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</row>
    <row r="98" ht="15" customHeight="1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</row>
    <row r="99" ht="15" customHeight="1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</row>
    <row r="100" ht="15" customHeight="1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</row>
    <row r="101" ht="15" customHeight="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</row>
    <row r="102" ht="15" customHeight="1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</row>
    <row r="103" ht="15" customHeight="1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</row>
    <row r="104" ht="15" customHeight="1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</row>
    <row r="105" ht="15" customHeight="1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</row>
    <row r="106" ht="15" customHeight="1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</row>
    <row r="107" ht="15" customHeight="1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</row>
    <row r="108" ht="15" customHeight="1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</row>
    <row r="109" ht="15" customHeight="1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</row>
    <row r="110" ht="15" customHeight="1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</row>
    <row r="111" ht="15" customHeight="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</row>
    <row r="112" ht="15" customHeight="1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</row>
    <row r="113" ht="15" customHeight="1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</row>
    <row r="114" ht="15" customHeight="1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</row>
    <row r="115" ht="15" customHeight="1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</row>
    <row r="116" ht="15" customHeight="1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</row>
    <row r="117" ht="15" customHeight="1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</row>
    <row r="118" ht="15" customHeight="1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</row>
    <row r="119" ht="15" customHeight="1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</row>
    <row r="120" ht="15" customHeight="1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</row>
    <row r="121" ht="15" customHeight="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</row>
    <row r="122" ht="15" customHeight="1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</row>
    <row r="123" ht="15" customHeight="1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</row>
    <row r="124" ht="15" customHeight="1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</row>
    <row r="125" ht="15" customHeight="1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</row>
    <row r="126" ht="15" customHeight="1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</row>
    <row r="127" ht="15" customHeight="1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</row>
    <row r="128" ht="15" customHeight="1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</row>
    <row r="129" ht="15" customHeight="1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</row>
    <row r="130" ht="15" customHeight="1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</row>
    <row r="131" ht="15" customHeight="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</row>
    <row r="132" ht="15" customHeight="1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</row>
    <row r="133" ht="15" customHeight="1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</row>
    <row r="134" ht="15" customHeight="1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</row>
    <row r="135" ht="15" customHeight="1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</row>
    <row r="136" ht="15" customHeight="1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</row>
    <row r="137" ht="15" customHeight="1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</row>
    <row r="138" ht="15" customHeight="1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</row>
    <row r="139" ht="15" customHeight="1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</row>
    <row r="140" ht="15" customHeight="1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</row>
    <row r="141" ht="15" customHeight="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</row>
    <row r="142" ht="15" customHeight="1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</row>
    <row r="143" ht="15" customHeight="1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</row>
    <row r="144" ht="15" customHeight="1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</row>
    <row r="145" ht="15" customHeight="1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</row>
    <row r="146" ht="15" customHeight="1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</row>
    <row r="147" ht="15" customHeight="1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</row>
    <row r="148" ht="15" customHeight="1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</row>
    <row r="149" ht="15" customHeight="1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</row>
    <row r="150" ht="15" customHeight="1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</row>
    <row r="151" ht="15" customHeight="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</row>
    <row r="152" ht="15" customHeight="1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</row>
    <row r="153" ht="15" customHeight="1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</row>
    <row r="154" ht="15" customHeight="1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</row>
    <row r="155" ht="15" customHeight="1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</row>
    <row r="156" ht="15" customHeight="1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</row>
    <row r="157" ht="15" customHeight="1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</row>
    <row r="158" ht="15" customHeight="1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</row>
    <row r="159" ht="15" customHeight="1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</row>
    <row r="160" ht="15" customHeight="1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</row>
    <row r="161" ht="15" customHeight="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</row>
    <row r="162" ht="15" customHeight="1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</row>
    <row r="163" ht="15" customHeight="1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</row>
    <row r="164" ht="15" customHeight="1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</row>
    <row r="165" ht="15" customHeight="1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</row>
    <row r="166" ht="15" customHeight="1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</row>
    <row r="167" ht="15" customHeight="1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</row>
    <row r="168" ht="15" customHeight="1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</row>
    <row r="169" ht="15" customHeight="1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</row>
    <row r="170" ht="15" customHeight="1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</row>
    <row r="171" ht="15" customHeight="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</row>
    <row r="172" ht="15" customHeight="1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</row>
    <row r="173" ht="15" customHeight="1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</row>
    <row r="174" ht="15" customHeight="1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</row>
    <row r="175" ht="15" customHeight="1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</row>
    <row r="176" ht="15" customHeight="1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</row>
    <row r="177" ht="15" customHeight="1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</row>
    <row r="178" ht="15" customHeight="1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</row>
    <row r="179" ht="15" customHeight="1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</row>
    <row r="180" ht="15" customHeight="1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</row>
    <row r="181" ht="15" customHeight="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</row>
    <row r="182" ht="15" customHeight="1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</row>
    <row r="183" ht="15" customHeight="1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</row>
    <row r="184" ht="15" customHeight="1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</row>
    <row r="185" ht="15" customHeight="1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</row>
    <row r="186" ht="15" customHeight="1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</row>
    <row r="187" ht="15" customHeight="1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</row>
    <row r="188" ht="15" customHeight="1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</row>
    <row r="189" ht="15" customHeight="1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</row>
    <row r="190" ht="15" customHeight="1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</row>
    <row r="191" ht="15" customHeight="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</row>
    <row r="192" ht="15" customHeight="1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</row>
    <row r="193" ht="15" customHeight="1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</row>
    <row r="194" ht="15" customHeight="1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</row>
    <row r="195" ht="15" customHeight="1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</row>
    <row r="196" ht="15" customHeight="1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</row>
    <row r="197" ht="15" customHeight="1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</row>
    <row r="198" ht="15" customHeight="1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</row>
    <row r="199" ht="15" customHeight="1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</row>
    <row r="200" ht="15" customHeight="1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</row>
  </sheetData>
  <mergeCells count="2">
    <mergeCell ref="A1:J1"/>
    <mergeCell ref="A2:J2"/>
  </mergeCells>
  <conditionalFormatting sqref="D5:D18">
    <cfRule type="expression" priority="1" dxfId="2">
      <formula>D5="Verified"</formula>
    </cfRule>
  </conditionalFormatting>
  <dataValidations count="2">
    <dataValidation sqref="C5:C18" showDropDown="0" showInputMessage="0" showErrorMessage="0" allowBlank="0" type="list">
      <formula1>"Yes,Recommended,Optional"</formula1>
    </dataValidation>
    <dataValidation sqref="D5:D18" showDropDown="0" showInputMessage="0" showErrorMessage="0" allowBlank="0" type="list">
      <formula1>"Missing,In Progress,Done,Verified,Excluded"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00"/>
  <sheetViews>
    <sheetView tabSelected="1" zoomScale="145" zoomScaleNormal="145" workbookViewId="0">
      <selection activeCell="A10" sqref="A10"/>
    </sheetView>
  </sheetViews>
  <sheetFormatPr baseColWidth="8" defaultRowHeight="14.25"/>
  <cols>
    <col width="28" customWidth="1" min="1" max="1"/>
    <col width="18" customWidth="1" min="2" max="3"/>
    <col width="45" customWidth="1" min="4" max="4"/>
    <col width="20" customWidth="1" min="6" max="6"/>
    <col width="32" customWidth="1" min="7" max="7"/>
    <col width="16" customWidth="1" min="8" max="9"/>
  </cols>
  <sheetData>
    <row r="1" ht="57.6" customHeight="1">
      <c r="A1" s="9" t="inlineStr">
        <is>
          <t>PalmMapBot Publication Readiness Dashboard</t>
        </is>
      </c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 ht="24" customHeight="1">
      <c r="A2" s="11" t="inlineStr">
        <is>
          <t>Auto-summary from experiment sheets. Fill experiment sheets first.</t>
        </is>
      </c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 ht="15" customHeight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</row>
    <row r="4" ht="26.45" customHeight="1">
      <c r="A4" s="1" t="inlineStr">
        <is>
          <t>KPI</t>
        </is>
      </c>
      <c r="B4" s="1" t="inlineStr">
        <is>
          <t>Value</t>
        </is>
      </c>
      <c r="C4" s="1" t="inlineStr">
        <is>
          <t>Target</t>
        </is>
      </c>
      <c r="D4" s="1" t="inlineStr">
        <is>
          <t>Status/Comment</t>
        </is>
      </c>
      <c r="E4" s="10" t="n"/>
      <c r="F4" s="12" t="inlineStr">
        <is>
          <t>Manuscript Decision Gate</t>
        </is>
      </c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</row>
    <row r="5" ht="15" customHeight="1">
      <c r="A5" s="10" t="inlineStr">
        <is>
          <t>Completed experiments</t>
        </is>
      </c>
      <c r="B5" s="5">
        <f>COUNTIF(Experiment_Plan!H5:H9,"Verified")+COUNTIF(Experiment_Plan!H5:H9,"Completed")</f>
        <v/>
      </c>
      <c r="C5" s="10" t="inlineStr">
        <is>
          <t>5</t>
        </is>
      </c>
      <c r="D5" s="10" t="inlineStr">
        <is>
          <t>Need all core experiments completed.</t>
        </is>
      </c>
      <c r="E5" s="10" t="n"/>
      <c r="F5" s="1" t="inlineStr">
        <is>
          <t>Gate</t>
        </is>
      </c>
      <c r="G5" s="1" t="inlineStr">
        <is>
          <t>Pass Condition</t>
        </is>
      </c>
      <c r="H5" s="1" t="inlineStr">
        <is>
          <t>Current</t>
        </is>
      </c>
      <c r="I5" s="1" t="inlineStr">
        <is>
          <t>Decision</t>
        </is>
      </c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</row>
    <row r="6" ht="15" customHeight="1">
      <c r="A6" s="10" t="inlineStr">
        <is>
          <t>Best detection F1</t>
        </is>
      </c>
      <c r="B6" s="5">
        <f>MAX(Detection_Metrics!K5:K24)</f>
        <v/>
      </c>
      <c r="C6" s="10" t="inlineStr">
        <is>
          <t>&gt;=0.80 preferred</t>
        </is>
      </c>
      <c r="D6" s="10" t="inlineStr">
        <is>
          <t>Depends on dataset difficulty.</t>
        </is>
      </c>
      <c r="E6" s="10" t="n"/>
      <c r="F6" s="10" t="inlineStr">
        <is>
          <t>Core evidence</t>
        </is>
      </c>
      <c r="G6" s="10" t="inlineStr">
        <is>
          <t>Completed experiments ≥ 4</t>
        </is>
      </c>
      <c r="H6" s="5">
        <f>B5</f>
        <v/>
      </c>
      <c r="I6" s="10">
        <f>IF(H6&gt;=4,"PASS","NO-PASS")</f>
        <v/>
      </c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15" customHeight="1">
      <c r="A7" s="10" t="inlineStr">
        <is>
          <t>Best mAP@0.5</t>
        </is>
      </c>
      <c r="B7" s="5">
        <f>MAX(Detection_Metrics!L5:L24)</f>
        <v/>
      </c>
      <c r="C7" s="10" t="inlineStr">
        <is>
          <t>&gt;=0.80 preferred</t>
        </is>
      </c>
      <c r="D7" s="10" t="inlineStr">
        <is>
          <t>If available.</t>
        </is>
      </c>
      <c r="E7" s="10" t="n"/>
      <c r="F7" s="10" t="inlineStr">
        <is>
          <t>Detection</t>
        </is>
      </c>
      <c r="G7" s="10" t="inlineStr">
        <is>
          <t>F1 not blank and defensible</t>
        </is>
      </c>
      <c r="H7" s="5">
        <f>B6</f>
        <v/>
      </c>
      <c r="I7" s="10">
        <f>IF(H7&gt;0,"PASS","NO-PASS")</f>
        <v/>
      </c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 ht="15" customHeight="1">
      <c r="A8" s="10" t="inlineStr">
        <is>
          <t>Tree-ID correct rate</t>
        </is>
      </c>
      <c r="B8" s="5">
        <f>TreeID_Association!T6</f>
        <v/>
      </c>
      <c r="C8" s="10" t="inlineStr">
        <is>
          <t>&gt;=0.85 preferred</t>
        </is>
      </c>
      <c r="D8" s="10" t="inlineStr">
        <is>
          <t>Core novelty metric.</t>
        </is>
      </c>
      <c r="E8" s="10" t="n"/>
      <c r="F8" s="10" t="inlineStr">
        <is>
          <t>Tree-ID novelty</t>
        </is>
      </c>
      <c r="G8" s="10" t="inlineStr">
        <is>
          <t>Correct rate measured</t>
        </is>
      </c>
      <c r="H8" s="5">
        <f>B8</f>
        <v/>
      </c>
      <c r="I8" s="10">
        <f>IF(H8&gt;0,"PASS","NO-PASS")</f>
        <v/>
      </c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5" customHeight="1">
      <c r="A9" s="10" t="inlineStr">
        <is>
          <t>Tree-ID duplicate rate</t>
        </is>
      </c>
      <c r="B9" s="5">
        <f>TreeID_Association!T7</f>
        <v/>
      </c>
      <c r="C9" s="10" t="inlineStr">
        <is>
          <t>&lt;0.15 preferred</t>
        </is>
      </c>
      <c r="D9" s="10" t="inlineStr">
        <is>
          <t>Lower is better.</t>
        </is>
      </c>
      <c r="E9" s="10" t="n"/>
      <c r="F9" s="10" t="inlineStr">
        <is>
          <t>Mapping</t>
        </is>
      </c>
      <c r="G9" s="10" t="inlineStr">
        <is>
          <t>Mean error measured</t>
        </is>
      </c>
      <c r="H9" s="5">
        <f>B10</f>
        <v/>
      </c>
      <c r="I9" s="10">
        <f>IF(H9&gt;0,"PASS","NO-PASS")</f>
        <v/>
      </c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15" customHeight="1">
      <c r="A10" s="10" t="inlineStr">
        <is>
          <t>Mean mapping error (m)</t>
        </is>
      </c>
      <c r="B10" s="5">
        <f>Mapping_Accuracy!O6</f>
        <v/>
      </c>
      <c r="C10" s="10" t="inlineStr">
        <is>
          <t>&lt;1.0 m preferred</t>
        </is>
      </c>
      <c r="D10" s="10" t="inlineStr">
        <is>
          <t>Pilot target; explain ground truth quality.</t>
        </is>
      </c>
      <c r="E10" s="10" t="n"/>
      <c r="F10" s="10" t="inlineStr">
        <is>
          <t>GIS</t>
        </is>
      </c>
      <c r="G10" s="10" t="inlineStr">
        <is>
          <t>At least one export verified</t>
        </is>
      </c>
      <c r="H10" s="5">
        <f>B11</f>
        <v/>
      </c>
      <c r="I10" s="10">
        <f>IF(H10&gt;=1,"PASS","NO-PASS")</f>
        <v/>
      </c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 ht="15" customHeight="1">
      <c r="A11" s="10" t="inlineStr">
        <is>
          <t>GIS exports verified</t>
        </is>
      </c>
      <c r="B11" s="5">
        <f>COUNTIF(GIS_Validation!J5:J24,"Yes")</f>
        <v/>
      </c>
      <c r="C11" s="10" t="inlineStr">
        <is>
          <t>&gt;=1</t>
        </is>
      </c>
      <c r="D11" s="10" t="inlineStr">
        <is>
          <t>Need at least one valid exported map.</t>
        </is>
      </c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 ht="15" customHeight="1">
      <c r="A12" s="10" t="inlineStr">
        <is>
          <t>Evidence items verified</t>
        </is>
      </c>
      <c r="B12" s="5">
        <f>COUNTIF(Evidence_Checklist!D5:D18,"Verified")</f>
        <v/>
      </c>
      <c r="C12" s="10" t="inlineStr">
        <is>
          <t>&gt;=12</t>
        </is>
      </c>
      <c r="D12" s="10" t="inlineStr">
        <is>
          <t>Publication package completeness.</t>
        </is>
      </c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15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 ht="15" customHeight="1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 ht="15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15" customHeight="1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 ht="15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5" customHeight="1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5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 ht="15" customHeight="1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5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 ht="15" customHeight="1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 ht="15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 ht="15" customHeight="1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 ht="15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 ht="15" customHeight="1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 ht="15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 ht="15" customHeight="1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 ht="15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 ht="15" customHeight="1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 ht="15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 ht="15" customHeight="1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5" customHeight="1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</row>
    <row r="34" ht="15" customHeight="1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</row>
    <row r="35" ht="15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</row>
    <row r="36" ht="15" customHeight="1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 ht="15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</row>
    <row r="38" ht="15" customHeight="1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 ht="15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 ht="15" customHeight="1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</row>
    <row r="41" ht="15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 ht="15" customHeight="1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5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</row>
    <row r="44" ht="15" customHeight="1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</row>
    <row r="45" ht="15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</row>
    <row r="46" ht="15" customHeight="1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 ht="15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</row>
    <row r="48" ht="15" customHeight="1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</row>
    <row r="49" ht="15" customHeight="1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 ht="15" customHeight="1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</row>
    <row r="51" ht="15" customHeight="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</row>
    <row r="52" ht="15" customHeight="1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</row>
    <row r="53" ht="15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5" customHeight="1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</row>
    <row r="55" ht="15" customHeight="1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</row>
    <row r="56" ht="15" customHeight="1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</row>
    <row r="57" ht="15" customHeight="1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</row>
    <row r="58" ht="15" customHeight="1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</row>
    <row r="59" ht="15" customHeight="1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</row>
    <row r="60" ht="15" customHeight="1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</row>
    <row r="61" ht="15" customHeight="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</row>
    <row r="62" ht="15" customHeight="1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</row>
    <row r="63" ht="15" customHeight="1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</row>
    <row r="64" ht="15" customHeight="1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</row>
    <row r="65" ht="15" customHeight="1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</row>
    <row r="66" ht="15" customHeight="1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</row>
    <row r="67" ht="15" customHeight="1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</row>
    <row r="68" ht="15" customHeight="1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</row>
    <row r="69" ht="15" customHeight="1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</row>
    <row r="70" ht="15" customHeight="1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</row>
    <row r="71" ht="15" customHeight="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</row>
    <row r="72" ht="15" customHeight="1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</row>
    <row r="73" ht="15" customHeight="1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</row>
    <row r="74" ht="15" customHeight="1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</row>
    <row r="75" ht="15" customHeight="1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</row>
    <row r="76" ht="15" customHeight="1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 ht="15" customHeight="1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</row>
    <row r="78" ht="15" customHeight="1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</row>
    <row r="79" ht="15" customHeight="1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</row>
    <row r="80" ht="15" customHeight="1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</row>
    <row r="81" ht="15" customHeight="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</row>
    <row r="82" ht="15" customHeight="1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</row>
    <row r="83" ht="15" customHeight="1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</row>
    <row r="84" ht="15" customHeight="1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</row>
    <row r="85" ht="15" customHeight="1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</row>
    <row r="86" ht="15" customHeight="1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</row>
    <row r="87" ht="15" customHeight="1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</row>
    <row r="88" ht="15" customHeight="1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</row>
    <row r="89" ht="15" customHeight="1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</row>
    <row r="90" ht="15" customHeight="1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</row>
    <row r="91" ht="15" customHeight="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</row>
    <row r="92" ht="15" customHeight="1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</row>
    <row r="93" ht="15" customHeight="1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</row>
    <row r="94" ht="15" customHeight="1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</row>
    <row r="95" ht="15" customHeight="1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</row>
    <row r="96" ht="15" customHeight="1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</row>
    <row r="97" ht="15" customHeight="1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</row>
    <row r="98" ht="15" customHeight="1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</row>
    <row r="99" ht="15" customHeight="1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</row>
    <row r="100" ht="15" customHeight="1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</row>
    <row r="101" ht="15" customHeight="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</row>
    <row r="102" ht="15" customHeight="1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</row>
    <row r="103" ht="15" customHeight="1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</row>
    <row r="104" ht="15" customHeight="1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</row>
    <row r="105" ht="15" customHeight="1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</row>
    <row r="106" ht="15" customHeight="1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</row>
    <row r="107" ht="15" customHeight="1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</row>
    <row r="108" ht="15" customHeight="1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</row>
    <row r="109" ht="15" customHeight="1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</row>
    <row r="110" ht="15" customHeight="1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</row>
    <row r="111" ht="15" customHeight="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</row>
    <row r="112" ht="15" customHeight="1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</row>
    <row r="113" ht="15" customHeight="1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</row>
    <row r="114" ht="15" customHeight="1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</row>
    <row r="115" ht="15" customHeight="1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</row>
    <row r="116" ht="15" customHeight="1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</row>
    <row r="117" ht="15" customHeight="1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</row>
    <row r="118" ht="15" customHeight="1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</row>
    <row r="119" ht="15" customHeight="1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</row>
    <row r="120" ht="15" customHeight="1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</row>
    <row r="121" ht="15" customHeight="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</row>
    <row r="122" ht="15" customHeight="1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</row>
    <row r="123" ht="15" customHeight="1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</row>
    <row r="124" ht="15" customHeight="1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</row>
    <row r="125" ht="15" customHeight="1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</row>
    <row r="126" ht="15" customHeight="1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</row>
    <row r="127" ht="15" customHeight="1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</row>
    <row r="128" ht="15" customHeight="1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</row>
    <row r="129" ht="15" customHeight="1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</row>
    <row r="130" ht="15" customHeight="1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</row>
    <row r="131" ht="15" customHeight="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</row>
    <row r="132" ht="15" customHeight="1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</row>
    <row r="133" ht="15" customHeight="1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</row>
    <row r="134" ht="15" customHeight="1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</row>
    <row r="135" ht="15" customHeight="1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</row>
    <row r="136" ht="15" customHeight="1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</row>
    <row r="137" ht="15" customHeight="1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</row>
    <row r="138" ht="15" customHeight="1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</row>
    <row r="139" ht="15" customHeight="1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</row>
    <row r="140" ht="15" customHeight="1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</row>
    <row r="141" ht="15" customHeight="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</row>
    <row r="142" ht="15" customHeight="1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</row>
    <row r="143" ht="15" customHeight="1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</row>
    <row r="144" ht="15" customHeight="1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</row>
    <row r="145" ht="15" customHeight="1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</row>
    <row r="146" ht="15" customHeight="1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</row>
    <row r="147" ht="15" customHeight="1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</row>
    <row r="148" ht="15" customHeight="1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</row>
    <row r="149" ht="15" customHeight="1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</row>
    <row r="150" ht="15" customHeight="1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</row>
    <row r="151" ht="15" customHeight="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</row>
    <row r="152" ht="15" customHeight="1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</row>
    <row r="153" ht="15" customHeight="1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</row>
    <row r="154" ht="15" customHeight="1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</row>
    <row r="155" ht="15" customHeight="1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</row>
    <row r="156" ht="15" customHeight="1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</row>
    <row r="157" ht="15" customHeight="1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</row>
    <row r="158" ht="15" customHeight="1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</row>
    <row r="159" ht="15" customHeight="1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</row>
    <row r="160" ht="15" customHeight="1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</row>
    <row r="161" ht="15" customHeight="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</row>
    <row r="162" ht="15" customHeight="1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</row>
    <row r="163" ht="15" customHeight="1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</row>
    <row r="164" ht="15" customHeight="1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</row>
    <row r="165" ht="15" customHeight="1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</row>
    <row r="166" ht="15" customHeight="1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</row>
    <row r="167" ht="15" customHeight="1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</row>
    <row r="168" ht="15" customHeight="1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</row>
    <row r="169" ht="15" customHeight="1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</row>
    <row r="170" ht="15" customHeight="1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</row>
    <row r="171" ht="15" customHeight="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</row>
    <row r="172" ht="15" customHeight="1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</row>
    <row r="173" ht="15" customHeight="1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</row>
    <row r="174" ht="15" customHeight="1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</row>
    <row r="175" ht="15" customHeight="1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</row>
    <row r="176" ht="15" customHeight="1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</row>
    <row r="177" ht="15" customHeight="1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</row>
    <row r="178" ht="15" customHeight="1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</row>
    <row r="179" ht="15" customHeight="1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</row>
    <row r="180" ht="15" customHeight="1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</row>
    <row r="181" ht="15" customHeight="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</row>
    <row r="182" ht="15" customHeight="1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</row>
    <row r="183" ht="15" customHeight="1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</row>
    <row r="184" ht="15" customHeight="1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</row>
    <row r="185" ht="15" customHeight="1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</row>
    <row r="186" ht="15" customHeight="1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</row>
    <row r="187" ht="15" customHeight="1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</row>
    <row r="188" ht="15" customHeight="1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</row>
    <row r="189" ht="15" customHeight="1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</row>
    <row r="190" ht="15" customHeight="1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</row>
    <row r="191" ht="15" customHeight="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</row>
    <row r="192" ht="15" customHeight="1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</row>
    <row r="193" ht="15" customHeight="1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</row>
    <row r="194" ht="15" customHeight="1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</row>
    <row r="195" ht="15" customHeight="1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</row>
    <row r="196" ht="15" customHeight="1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</row>
    <row r="197" ht="15" customHeight="1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</row>
    <row r="198" ht="15" customHeight="1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</row>
    <row r="199" ht="15" customHeight="1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</row>
    <row r="200" ht="15" customHeight="1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</row>
  </sheetData>
  <mergeCells count="3">
    <mergeCell ref="A1:J1"/>
    <mergeCell ref="F4:I4"/>
    <mergeCell ref="A2:J2"/>
  </mergeCells>
  <conditionalFormatting sqref="I6:I10">
    <cfRule type="expression" priority="1" dxfId="1">
      <formula>I6="PASS"</formula>
    </cfRule>
    <cfRule type="expression" priority="2" dxfId="0">
      <formula>I6="NO-PASS"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Ahmed El-Sayed Ouda Ayoub</dc:creator>
  <dcterms:created xmlns:dcterms="http://purl.org/dc/terms/" xmlns:xsi="http://www.w3.org/2001/XMLSchema-instance" xsi:type="dcterms:W3CDTF">2026-05-20T18:52:39Z</dcterms:created>
  <dcterms:modified xmlns:dcterms="http://purl.org/dc/terms/" xmlns:xsi="http://www.w3.org/2001/XMLSchema-instance" xsi:type="dcterms:W3CDTF">2026-05-20T18:52:39Z</dcterms:modified>
  <cp:lastModifiedBy>Ahmed El-Sayed Ouda Ayoub</cp:lastModifiedBy>
</cp:coreProperties>
</file>